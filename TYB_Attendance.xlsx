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HIKA\Downloads\"/>
    </mc:Choice>
  </mc:AlternateContent>
  <xr:revisionPtr revIDLastSave="0" documentId="13_ncr:1_{A186B939-7852-4EA1-AADB-F27D627DE524}" xr6:coauthVersionLast="47" xr6:coauthVersionMax="47" xr10:uidLastSave="{00000000-0000-0000-0000-000000000000}"/>
  <bookViews>
    <workbookView xWindow="-108" yWindow="-108" windowWidth="23256" windowHeight="12456" activeTab="1" xr2:uid="{9FE96B58-6A71-4B12-B820-7BEC3F8FFDB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88" i="2" l="1"/>
  <c r="AD89" i="2"/>
  <c r="AD90" i="2"/>
  <c r="AD91" i="2"/>
  <c r="AD92" i="2"/>
  <c r="AD93" i="2"/>
  <c r="AD94" i="2"/>
  <c r="AD95" i="2"/>
  <c r="AD96" i="2"/>
  <c r="AD97" i="2"/>
  <c r="AD98" i="2"/>
  <c r="AD87" i="2"/>
  <c r="AD68" i="2" a="1"/>
  <c r="AD68" i="2" s="1"/>
  <c r="AD69" i="2" a="1"/>
  <c r="AD69" i="2"/>
  <c r="AD70" i="2" a="1"/>
  <c r="AD70" i="2"/>
  <c r="AD71" i="2" a="1"/>
  <c r="AD71" i="2"/>
  <c r="AD72" i="2" a="1"/>
  <c r="AD72" i="2"/>
  <c r="AD73" i="2" a="1"/>
  <c r="AD73" i="2"/>
  <c r="AD74" i="2" a="1"/>
  <c r="AD74" i="2" s="1"/>
  <c r="AD75" i="2" a="1"/>
  <c r="AD75" i="2"/>
  <c r="AD76" i="2" a="1"/>
  <c r="AD76" i="2"/>
  <c r="AD77" i="2" a="1"/>
  <c r="AD77" i="2"/>
  <c r="AD78" i="2" a="1"/>
  <c r="AD78" i="2"/>
  <c r="AD79" i="2" a="1"/>
  <c r="AD79" i="2"/>
  <c r="AD80" i="2" a="1"/>
  <c r="AD80" i="2" s="1"/>
  <c r="AD81" i="2" a="1"/>
  <c r="AD81" i="2"/>
  <c r="AD82" i="2" a="1"/>
  <c r="AD82" i="2"/>
  <c r="AD67" i="2" a="1"/>
  <c r="AD67" i="2" s="1"/>
  <c r="AD48" i="2" a="1"/>
  <c r="AD48" i="2" s="1"/>
  <c r="AD49" i="2" a="1"/>
  <c r="AD49" i="2" s="1"/>
  <c r="AD50" i="2" a="1"/>
  <c r="AD50" i="2"/>
  <c r="AD51" i="2" a="1"/>
  <c r="AD51" i="2"/>
  <c r="AD52" i="2" a="1"/>
  <c r="AD52" i="2"/>
  <c r="AD53" i="2" a="1"/>
  <c r="AD53" i="2"/>
  <c r="AD54" i="2" a="1"/>
  <c r="AD54" i="2" s="1"/>
  <c r="AD55" i="2" a="1"/>
  <c r="AD55" i="2"/>
  <c r="AD56" i="2" a="1"/>
  <c r="AD56" i="2"/>
  <c r="AD57" i="2" a="1"/>
  <c r="AD57" i="2"/>
  <c r="AD58" i="2" a="1"/>
  <c r="AD58" i="2"/>
  <c r="AD59" i="2" a="1"/>
  <c r="AD59" i="2"/>
  <c r="AD60" i="2" a="1"/>
  <c r="AD60" i="2" s="1"/>
  <c r="AD61" i="2" a="1"/>
  <c r="AD61" i="2"/>
  <c r="AD62" i="2" a="1"/>
  <c r="AD62" i="2" s="1"/>
  <c r="AD63" i="2" a="1"/>
  <c r="AD63" i="2" s="1"/>
  <c r="AD64" i="2" a="1"/>
  <c r="AD64" i="2" s="1"/>
  <c r="AD47" i="2" a="1"/>
  <c r="AD47" i="2" s="1"/>
  <c r="AD36" i="2"/>
  <c r="AD37" i="2"/>
  <c r="AD38" i="2"/>
  <c r="AD39" i="2"/>
  <c r="AD40" i="2"/>
  <c r="AD41" i="2"/>
  <c r="AD35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8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47" i="2"/>
  <c r="O36" i="2"/>
  <c r="O37" i="2"/>
  <c r="O38" i="2"/>
  <c r="O39" i="2"/>
  <c r="O40" i="2"/>
  <c r="O41" i="2"/>
  <c r="O35" i="2"/>
  <c r="O9" i="2" a="1"/>
  <c r="O9" i="2"/>
  <c r="O10" i="2" a="1"/>
  <c r="O10" i="2" s="1"/>
  <c r="O11" i="2" a="1"/>
  <c r="O11" i="2"/>
  <c r="O12" i="2" a="1"/>
  <c r="O12" i="2"/>
  <c r="O13" i="2" a="1"/>
  <c r="O13" i="2"/>
  <c r="O14" i="2" a="1"/>
  <c r="O14" i="2" s="1"/>
  <c r="O15" i="2" a="1"/>
  <c r="O15" i="2"/>
  <c r="O16" i="2" a="1"/>
  <c r="O16" i="2" s="1"/>
  <c r="O17" i="2" a="1"/>
  <c r="O17" i="2"/>
  <c r="O18" i="2" a="1"/>
  <c r="O18" i="2" s="1"/>
  <c r="O19" i="2" a="1"/>
  <c r="O19" i="2"/>
  <c r="O20" i="2" a="1"/>
  <c r="O20" i="2" s="1"/>
  <c r="O21" i="2" a="1"/>
  <c r="O21" i="2"/>
  <c r="O22" i="2" a="1"/>
  <c r="O22" i="2" s="1"/>
  <c r="O23" i="2" a="1"/>
  <c r="O23" i="2"/>
  <c r="O24" i="2" a="1"/>
  <c r="O24" i="2"/>
  <c r="O25" i="2" a="1"/>
  <c r="O25" i="2" s="1"/>
  <c r="O26" i="2" a="1"/>
  <c r="O26" i="2" s="1"/>
  <c r="O27" i="2" a="1"/>
  <c r="O27" i="2"/>
  <c r="O28" i="2" a="1"/>
  <c r="O28" i="2" s="1"/>
  <c r="O29" i="2" a="1"/>
  <c r="O29" i="2" s="1"/>
  <c r="O30" i="2" a="1"/>
  <c r="O30" i="2"/>
  <c r="O31" i="2" a="1"/>
  <c r="O31" i="2" s="1"/>
  <c r="O32" i="2" a="1"/>
  <c r="O32" i="2" s="1"/>
  <c r="O8" i="2" a="1"/>
  <c r="O8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<sst xmlns="http://schemas.openxmlformats.org/spreadsheetml/2006/main" count="636" uniqueCount="199">
  <si>
    <t>Theory/Practical</t>
  </si>
  <si>
    <t>Th</t>
  </si>
  <si>
    <t>Pr</t>
  </si>
  <si>
    <t>Tut</t>
  </si>
  <si>
    <t>Name of faculty</t>
  </si>
  <si>
    <t>VNP</t>
  </si>
  <si>
    <t>IIT</t>
  </si>
  <si>
    <t>AAP</t>
  </si>
  <si>
    <t>HMK</t>
  </si>
  <si>
    <t>AEM</t>
  </si>
  <si>
    <t>AAD</t>
  </si>
  <si>
    <t>DBM</t>
  </si>
  <si>
    <t>SBS</t>
  </si>
  <si>
    <t>B1</t>
  </si>
  <si>
    <t xml:space="preserve">No. of lectures and Practicals </t>
  </si>
  <si>
    <t>23UGCS21674</t>
  </si>
  <si>
    <t>Shreya Rajendra Lambe</t>
  </si>
  <si>
    <t>23UGCS21706</t>
  </si>
  <si>
    <t>Abhijit Rajendra Thombare</t>
  </si>
  <si>
    <t>48.78 58.54 48.78</t>
  </si>
  <si>
    <t>23UGCS21736</t>
  </si>
  <si>
    <t>Shravan Sambhaji Kapare</t>
  </si>
  <si>
    <t>23UGCS21771</t>
  </si>
  <si>
    <t>Atharav Sagar chavan</t>
  </si>
  <si>
    <t>23UGCS21777</t>
  </si>
  <si>
    <t>Samruddhi Sunil Sabale</t>
  </si>
  <si>
    <t xml:space="preserve">23UGCS21781 </t>
  </si>
  <si>
    <t>Shivani Bhimrao Nagavkar</t>
  </si>
  <si>
    <t>23UGCS21807</t>
  </si>
  <si>
    <t>Rutuja Prakash Shinde</t>
  </si>
  <si>
    <t>23UGCS21810</t>
  </si>
  <si>
    <t>Shubham Dada Dake</t>
  </si>
  <si>
    <t>23UGCS21817</t>
  </si>
  <si>
    <t>Vikas Bapu Sawant</t>
  </si>
  <si>
    <t>23UGCS21822</t>
  </si>
  <si>
    <t>Anuradha Bandu Sonawane</t>
  </si>
  <si>
    <t>23UGCS21826</t>
  </si>
  <si>
    <t>Shrutika Ananda Kamble</t>
  </si>
  <si>
    <t>23UGCS21829</t>
  </si>
  <si>
    <t>Sharvari Rajendra Patil</t>
  </si>
  <si>
    <t>23UGCS21837</t>
  </si>
  <si>
    <t>Diksha Daryappa Sherkhane</t>
  </si>
  <si>
    <t>23UGCS21840</t>
  </si>
  <si>
    <t>Radhika Ramesh Patil</t>
  </si>
  <si>
    <t>23UGCS21852</t>
  </si>
  <si>
    <t>Harshvardhan Santosh Patole</t>
  </si>
  <si>
    <t>23UGCS21855</t>
  </si>
  <si>
    <t>Pranali Lahuraj Chougale</t>
  </si>
  <si>
    <t>23UGCS21873</t>
  </si>
  <si>
    <t>Mustkeem Sameer Shaikh</t>
  </si>
  <si>
    <t>23UGCS21878</t>
  </si>
  <si>
    <t>Anushri  Anil Hanji</t>
  </si>
  <si>
    <t>23UGCS21912</t>
  </si>
  <si>
    <t>Vighnesh Dhanaji Patil</t>
  </si>
  <si>
    <t>23UGCS21920</t>
  </si>
  <si>
    <t>Prithviraj Shamrao Patil</t>
  </si>
  <si>
    <t>68.29 56.10</t>
  </si>
  <si>
    <t>23UGCS21921</t>
  </si>
  <si>
    <t>Ruturaj Mahendra Desai</t>
  </si>
  <si>
    <t>23UGCS21922</t>
  </si>
  <si>
    <t>Shivam Kailas Patil</t>
  </si>
  <si>
    <t>23UGCS21923</t>
  </si>
  <si>
    <t>Karuna Hindurao Kumbhar</t>
  </si>
  <si>
    <t>23UGCS21928</t>
  </si>
  <si>
    <t>Shriraj Anil Kharade</t>
  </si>
  <si>
    <t>23UGCS21929</t>
  </si>
  <si>
    <t>Vedant Ananda Pawar</t>
  </si>
  <si>
    <t>PVN</t>
  </si>
  <si>
    <t>B2</t>
  </si>
  <si>
    <t>23UGCS21933</t>
  </si>
  <si>
    <t>Aryan Ravindra Kanade</t>
  </si>
  <si>
    <t xml:space="preserve">23UGCS21935 </t>
  </si>
  <si>
    <t>Diksha Suresh Patil</t>
  </si>
  <si>
    <t>23UGCS21951</t>
  </si>
  <si>
    <t>Megharani Samadhan Admile</t>
  </si>
  <si>
    <t>23UGCS21952</t>
  </si>
  <si>
    <t>Swaroop Dattatray Patil</t>
  </si>
  <si>
    <t>56.41 58.97 43.59</t>
  </si>
  <si>
    <t>23UGCS21964</t>
  </si>
  <si>
    <t>Aniket Suresh Patil</t>
  </si>
  <si>
    <t>23UGCS21965</t>
  </si>
  <si>
    <t>Nikhil Navnath Chinchkar</t>
  </si>
  <si>
    <t>23UGCS21969</t>
  </si>
  <si>
    <t>Snehal Sarjerao Chormare</t>
  </si>
  <si>
    <t>Month</t>
  </si>
  <si>
    <t xml:space="preserve">Roll </t>
  </si>
  <si>
    <t>No</t>
  </si>
  <si>
    <t>GR Number</t>
  </si>
  <si>
    <t>Subject</t>
  </si>
  <si>
    <t>CC</t>
  </si>
  <si>
    <t>ML</t>
  </si>
  <si>
    <t>WT</t>
  </si>
  <si>
    <t>Blockchain</t>
  </si>
  <si>
    <t>HPC</t>
  </si>
  <si>
    <t>SW</t>
  </si>
  <si>
    <t>MP-II</t>
  </si>
  <si>
    <t>Attendance in %</t>
  </si>
  <si>
    <t>23UGCS21973</t>
  </si>
  <si>
    <t>Sarthak Avinash Sadigale</t>
  </si>
  <si>
    <t>38.46 64.10 58.97 41.03</t>
  </si>
  <si>
    <t>23UGCS21982</t>
  </si>
  <si>
    <t>Disha Dinesh Mane</t>
  </si>
  <si>
    <t>23UGCS21989</t>
  </si>
  <si>
    <t>Sanika Bajirao Tambavekar</t>
  </si>
  <si>
    <t>23UGCS21990</t>
  </si>
  <si>
    <t>Shravani Shrikant Nalawade</t>
  </si>
  <si>
    <t>23UGCS21991</t>
  </si>
  <si>
    <t>Sakshi Ananda Dasanhatti</t>
  </si>
  <si>
    <t xml:space="preserve">23UGCS21992 </t>
  </si>
  <si>
    <t>Rajvardhan Bharat Shete</t>
  </si>
  <si>
    <t>23UGCS21993</t>
  </si>
  <si>
    <t>Atharv Mahesh Moholkar</t>
  </si>
  <si>
    <t>23UGCS21998</t>
  </si>
  <si>
    <t>Shreyas Nivas Mane</t>
  </si>
  <si>
    <t>23UGCS22009</t>
  </si>
  <si>
    <t>Prachi Prakash Rajmane</t>
  </si>
  <si>
    <t>23UGCS22018</t>
  </si>
  <si>
    <t>Manas Manish Dhanawade</t>
  </si>
  <si>
    <t>23UGCS22027</t>
  </si>
  <si>
    <t>Siddhi Shivaji Jadhav</t>
  </si>
  <si>
    <t>23UGCS22033</t>
  </si>
  <si>
    <t>Shivam Vilas Lad</t>
  </si>
  <si>
    <t>61.54 41.03 66.67 28.21 28.21 35.90</t>
  </si>
  <si>
    <t>23UGCS22038</t>
  </si>
  <si>
    <t>Neha Madhav Kulkarni</t>
  </si>
  <si>
    <t>23UGCS22039</t>
  </si>
  <si>
    <t>Vaishnavi Arun Patil</t>
  </si>
  <si>
    <t>23UGCS22042</t>
  </si>
  <si>
    <t>Vasundhara Jiwan Gaikwad</t>
  </si>
  <si>
    <t>23UGCS22044</t>
  </si>
  <si>
    <t>Shivani Sachin Nimbalkar</t>
  </si>
  <si>
    <t>23UGCS22047</t>
  </si>
  <si>
    <t>Shraddha Gajanan Wagh</t>
  </si>
  <si>
    <t>23UGCS22056</t>
  </si>
  <si>
    <t>Ajay Chandrakant Kharat</t>
  </si>
  <si>
    <t>TRS</t>
  </si>
  <si>
    <t>SDM</t>
  </si>
  <si>
    <t>B3</t>
  </si>
  <si>
    <t>23UGCS22065</t>
  </si>
  <si>
    <t>Yash Shankar Nimbalkar</t>
  </si>
  <si>
    <t>23UGCS22080</t>
  </si>
  <si>
    <t>Shreyash Sanjay Mandave</t>
  </si>
  <si>
    <t xml:space="preserve">23UGCS22090 </t>
  </si>
  <si>
    <t>Payal Vijaykumar Gavali</t>
  </si>
  <si>
    <t>23UGCS22091</t>
  </si>
  <si>
    <t>Krutika Ashok Patil</t>
  </si>
  <si>
    <t>23UGCS22093</t>
  </si>
  <si>
    <t>Sakshi Rajendra Salunkhe</t>
  </si>
  <si>
    <t>23UGCS22117</t>
  </si>
  <si>
    <t>Samarjeet Sambhaji Sabale</t>
  </si>
  <si>
    <t>23UGCS22126</t>
  </si>
  <si>
    <t>Ayush Santosh Raut</t>
  </si>
  <si>
    <t>23UGCS22133</t>
  </si>
  <si>
    <t>Vivek Sunil Pawar</t>
  </si>
  <si>
    <t>23UGCS22145</t>
  </si>
  <si>
    <t>Prachi Dipak Kasabe</t>
  </si>
  <si>
    <t>23UGCS22157</t>
  </si>
  <si>
    <t>Vinay Vijay Bhosale</t>
  </si>
  <si>
    <t>23UGCS22174</t>
  </si>
  <si>
    <t>Sujal Pandurang Dambe</t>
  </si>
  <si>
    <t>23UGCS22181</t>
  </si>
  <si>
    <t>Pratik banda magdum</t>
  </si>
  <si>
    <t>23UGCS22187</t>
  </si>
  <si>
    <t>Omkar Sanjay Patil</t>
  </si>
  <si>
    <t>23UGCS22193</t>
  </si>
  <si>
    <t>Vishwajit Ananda Disale</t>
  </si>
  <si>
    <t>23UGCS22204</t>
  </si>
  <si>
    <t>Kaustubh Devdatta Divekar</t>
  </si>
  <si>
    <t xml:space="preserve">23UGCS22214 </t>
  </si>
  <si>
    <t>Gaurav Ganesh waghmare</t>
  </si>
  <si>
    <t>24UDCS22762</t>
  </si>
  <si>
    <t>Atharv Hari Lolage</t>
  </si>
  <si>
    <t>24UDCS22788</t>
  </si>
  <si>
    <t>Divya Dnyaneshwar Katwate</t>
  </si>
  <si>
    <t>24UDCS22795</t>
  </si>
  <si>
    <t>Sanika Rajaram Ghodake</t>
  </si>
  <si>
    <t>24UDCS23246</t>
  </si>
  <si>
    <t>Sanika kantilal Patil</t>
  </si>
  <si>
    <t>24UDCS23248</t>
  </si>
  <si>
    <t>Devyani Manik Patil</t>
  </si>
  <si>
    <t>24UDCS23256</t>
  </si>
  <si>
    <t>Samruddhi Udaysingh Jambhale</t>
  </si>
  <si>
    <t>23UGCS21734</t>
  </si>
  <si>
    <t>Pritam Vaiju Patil</t>
  </si>
  <si>
    <t>23UGCS21798</t>
  </si>
  <si>
    <t>Ashwini Bharat Desai</t>
  </si>
  <si>
    <t>23UGCS22101</t>
  </si>
  <si>
    <t>Sahil Shankar Mane</t>
  </si>
  <si>
    <t>PB1</t>
  </si>
  <si>
    <t>23UGCS21884</t>
  </si>
  <si>
    <t>Om Anil Dangare</t>
  </si>
  <si>
    <t>23UGCS22172</t>
  </si>
  <si>
    <t>Om Satappa Nakate</t>
  </si>
  <si>
    <t>23UGCS21932</t>
  </si>
  <si>
    <t>Kunal Harshad patil</t>
  </si>
  <si>
    <t>Class Coordinator</t>
  </si>
  <si>
    <t>Roll no</t>
  </si>
  <si>
    <t>AMC</t>
  </si>
  <si>
    <t>A.C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</si>
</sst>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.5"/>
      <color rgb="FF000000"/>
      <name val="Times New Roman"/>
      <family val="1"/>
    </font>
    <font>
      <sz val="10"/>
      <color rgb="FF000000"/>
      <name val="Times New Roman"/>
      <family val="1"/>
    </font>
    <font>
      <sz val="20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FFFFFF"/>
      <name val="Times New Roman"/>
      <family val="1"/>
    </font>
    <font>
      <sz val="9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E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DCE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91D63"/>
        <bgColor indexed="64"/>
      </patternFill>
    </fill>
    <fill>
      <patternFill patternType="solid">
        <fgColor rgb="FFE6B8AF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A4C2F4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ck">
        <color rgb="FFA4C2F4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ck">
        <color rgb="FFA4C2F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ck">
        <color rgb="FFA4C2F4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double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ck">
        <color rgb="FFA4C2F4"/>
      </right>
      <top style="medium">
        <color rgb="FF000000"/>
      </top>
      <bottom/>
      <diagonal/>
    </border>
    <border>
      <left style="medium">
        <color rgb="FF000000"/>
      </left>
      <right style="thick">
        <color rgb="FFA4C2F4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left" vertical="center" wrapText="1" indent="1"/>
    </xf>
    <xf numFmtId="0" fontId="1" fillId="5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justify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left" vertical="center" wrapText="1" indent="1"/>
    </xf>
    <xf numFmtId="0" fontId="1" fillId="5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 indent="1"/>
    </xf>
    <xf numFmtId="0" fontId="2" fillId="4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left" vertical="center" wrapText="1" indent="1"/>
    </xf>
    <xf numFmtId="0" fontId="4" fillId="3" borderId="2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2" fillId="5" borderId="9" xfId="0" applyFont="1" applyFill="1" applyBorder="1" applyAlignment="1">
      <alignment horizontal="left" vertical="center" wrapText="1" indent="2"/>
    </xf>
    <xf numFmtId="0" fontId="2" fillId="5" borderId="9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vertical="top" wrapText="1"/>
    </xf>
    <xf numFmtId="0" fontId="2" fillId="5" borderId="7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left" vertical="center" wrapText="1" indent="2"/>
    </xf>
    <xf numFmtId="0" fontId="4" fillId="4" borderId="2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2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 indent="1"/>
    </xf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 vertical="center" wrapText="1" indent="1"/>
    </xf>
    <xf numFmtId="0" fontId="1" fillId="5" borderId="9" xfId="0" applyFont="1" applyFill="1" applyBorder="1" applyAlignment="1">
      <alignment vertical="center" wrapText="1"/>
    </xf>
    <xf numFmtId="0" fontId="0" fillId="5" borderId="7" xfId="0" applyFill="1" applyBorder="1" applyAlignment="1">
      <alignment vertical="top" wrapText="1"/>
    </xf>
    <xf numFmtId="0" fontId="4" fillId="7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horizontal="justify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justify" vertical="center" wrapText="1"/>
    </xf>
    <xf numFmtId="0" fontId="2" fillId="3" borderId="1" xfId="0" applyFont="1" applyFill="1" applyBorder="1" applyAlignment="1">
      <alignment horizontal="justify" vertical="center" wrapText="1"/>
    </xf>
    <xf numFmtId="0" fontId="1" fillId="0" borderId="19" xfId="0" applyFont="1" applyBorder="1" applyAlignment="1">
      <alignment horizontal="justify" vertical="center" wrapText="1"/>
    </xf>
    <xf numFmtId="0" fontId="1" fillId="0" borderId="20" xfId="0" applyFont="1" applyBorder="1" applyAlignment="1">
      <alignment horizontal="justify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3" borderId="10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1" fillId="6" borderId="17" xfId="0" applyFont="1" applyFill="1" applyBorder="1" applyAlignment="1">
      <alignment vertical="center" wrapText="1"/>
    </xf>
    <xf numFmtId="0" fontId="1" fillId="6" borderId="13" xfId="0" applyFont="1" applyFill="1" applyBorder="1" applyAlignment="1">
      <alignment vertical="center" wrapText="1"/>
    </xf>
    <xf numFmtId="17" fontId="5" fillId="6" borderId="13" xfId="0" applyNumberFormat="1" applyFont="1" applyFill="1" applyBorder="1" applyAlignment="1">
      <alignment vertical="center" wrapText="1"/>
    </xf>
    <xf numFmtId="0" fontId="1" fillId="6" borderId="15" xfId="0" applyFont="1" applyFill="1" applyBorder="1" applyAlignment="1">
      <alignment vertical="center" wrapText="1"/>
    </xf>
    <xf numFmtId="0" fontId="1" fillId="6" borderId="7" xfId="0" applyFont="1" applyFill="1" applyBorder="1" applyAlignment="1">
      <alignment vertical="center" wrapText="1"/>
    </xf>
    <xf numFmtId="17" fontId="5" fillId="6" borderId="17" xfId="0" applyNumberFormat="1" applyFont="1" applyFill="1" applyBorder="1" applyAlignment="1">
      <alignment horizontal="center" vertical="center" wrapText="1"/>
    </xf>
    <xf numFmtId="17" fontId="5" fillId="6" borderId="13" xfId="0" applyNumberFormat="1" applyFont="1" applyFill="1" applyBorder="1" applyAlignment="1">
      <alignment horizontal="center" vertical="center" wrapText="1"/>
    </xf>
    <xf numFmtId="17" fontId="5" fillId="6" borderId="12" xfId="0" applyNumberFormat="1" applyFont="1" applyFill="1" applyBorder="1" applyAlignment="1">
      <alignment horizontal="center" vertical="center" wrapText="1"/>
    </xf>
    <xf numFmtId="17" fontId="5" fillId="6" borderId="3" xfId="0" applyNumberFormat="1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2" fontId="2" fillId="3" borderId="9" xfId="0" applyNumberFormat="1" applyFont="1" applyFill="1" applyBorder="1" applyAlignment="1">
      <alignment horizontal="center" vertical="center" wrapText="1"/>
    </xf>
    <xf numFmtId="2" fontId="2" fillId="5" borderId="9" xfId="0" applyNumberFormat="1" applyFont="1" applyFill="1" applyBorder="1" applyAlignment="1">
      <alignment horizontal="center" vertical="center" wrapText="1"/>
    </xf>
    <xf numFmtId="2" fontId="2" fillId="5" borderId="9" xfId="0" applyNumberFormat="1" applyFont="1" applyFill="1" applyBorder="1" applyAlignment="1">
      <alignment horizontal="left" vertical="center" wrapText="1" indent="2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EB6DB-3326-4DA0-88CA-A96B38510775}">
  <dimension ref="A1:O95"/>
  <sheetViews>
    <sheetView topLeftCell="A87" workbookViewId="0">
      <selection activeCell="S4" sqref="S4"/>
    </sheetView>
  </sheetViews>
  <sheetFormatPr defaultRowHeight="14.4" x14ac:dyDescent="0.3"/>
  <sheetData>
    <row r="1" spans="1:15" ht="27" thickBot="1" x14ac:dyDescent="0.35">
      <c r="A1" s="2" t="s">
        <v>196</v>
      </c>
      <c r="B1" s="3" t="s">
        <v>87</v>
      </c>
      <c r="C1" s="4" t="s">
        <v>0</v>
      </c>
      <c r="D1" s="5" t="s">
        <v>1</v>
      </c>
      <c r="E1" s="5" t="s">
        <v>2</v>
      </c>
      <c r="F1" s="5" t="s">
        <v>1</v>
      </c>
      <c r="G1" s="4" t="s">
        <v>2</v>
      </c>
      <c r="H1" s="5" t="s">
        <v>1</v>
      </c>
      <c r="I1" s="6" t="s">
        <v>2</v>
      </c>
      <c r="J1" s="5" t="s">
        <v>1</v>
      </c>
      <c r="K1" s="6" t="s">
        <v>3</v>
      </c>
      <c r="L1" s="6" t="s">
        <v>1</v>
      </c>
      <c r="M1" s="6" t="s">
        <v>1</v>
      </c>
      <c r="N1" s="4" t="s">
        <v>2</v>
      </c>
      <c r="O1" s="7"/>
    </row>
    <row r="2" spans="1:15" ht="27" thickBot="1" x14ac:dyDescent="0.35">
      <c r="A2" s="8"/>
      <c r="B2" s="9"/>
      <c r="C2" s="10" t="s">
        <v>4</v>
      </c>
      <c r="D2" s="11" t="s">
        <v>5</v>
      </c>
      <c r="E2" s="11" t="s">
        <v>5</v>
      </c>
      <c r="F2" s="12" t="s">
        <v>6</v>
      </c>
      <c r="G2" s="12" t="s">
        <v>7</v>
      </c>
      <c r="H2" s="11" t="s">
        <v>8</v>
      </c>
      <c r="I2" s="11" t="s">
        <v>8</v>
      </c>
      <c r="J2" s="11" t="s">
        <v>9</v>
      </c>
      <c r="K2" s="11" t="s">
        <v>9</v>
      </c>
      <c r="L2" s="11" t="s">
        <v>10</v>
      </c>
      <c r="M2" s="11" t="s">
        <v>11</v>
      </c>
      <c r="N2" s="13" t="s">
        <v>12</v>
      </c>
      <c r="O2" s="14"/>
    </row>
    <row r="3" spans="1:15" ht="53.4" thickBot="1" x14ac:dyDescent="0.35">
      <c r="A3" s="15"/>
      <c r="B3" s="16" t="s">
        <v>13</v>
      </c>
      <c r="C3" s="17" t="s">
        <v>14</v>
      </c>
      <c r="D3" s="18">
        <v>6</v>
      </c>
      <c r="E3" s="18">
        <v>1</v>
      </c>
      <c r="F3" s="18">
        <v>5</v>
      </c>
      <c r="G3" s="18">
        <v>3</v>
      </c>
      <c r="H3" s="18">
        <v>5</v>
      </c>
      <c r="I3" s="18">
        <v>3</v>
      </c>
      <c r="J3" s="18">
        <v>5</v>
      </c>
      <c r="K3" s="18">
        <v>2</v>
      </c>
      <c r="L3" s="18">
        <v>4</v>
      </c>
      <c r="M3" s="18">
        <v>5</v>
      </c>
      <c r="N3" s="18">
        <v>2</v>
      </c>
      <c r="O3" s="19">
        <v>41</v>
      </c>
    </row>
    <row r="4" spans="1:15" ht="42" thickBot="1" x14ac:dyDescent="0.35">
      <c r="A4" s="20">
        <v>101</v>
      </c>
      <c r="B4" s="21" t="s">
        <v>15</v>
      </c>
      <c r="C4" s="22" t="s">
        <v>16</v>
      </c>
      <c r="D4" s="18">
        <v>5</v>
      </c>
      <c r="E4" s="18">
        <v>1</v>
      </c>
      <c r="F4" s="18">
        <v>4</v>
      </c>
      <c r="G4" s="18">
        <v>3</v>
      </c>
      <c r="H4" s="18">
        <v>5</v>
      </c>
      <c r="I4" s="18">
        <v>2</v>
      </c>
      <c r="J4" s="18">
        <v>4</v>
      </c>
      <c r="K4" s="18">
        <v>2</v>
      </c>
      <c r="L4" s="18">
        <v>4</v>
      </c>
      <c r="M4" s="18">
        <v>5</v>
      </c>
      <c r="N4" s="18">
        <v>2</v>
      </c>
      <c r="O4" s="23">
        <v>90.24</v>
      </c>
    </row>
    <row r="5" spans="1:15" ht="55.8" thickBot="1" x14ac:dyDescent="0.35">
      <c r="A5" s="24">
        <v>102</v>
      </c>
      <c r="B5" s="25" t="s">
        <v>17</v>
      </c>
      <c r="C5" s="26" t="s">
        <v>18</v>
      </c>
      <c r="D5" s="27">
        <v>3</v>
      </c>
      <c r="E5" s="27">
        <v>1</v>
      </c>
      <c r="F5" s="27">
        <v>2</v>
      </c>
      <c r="G5" s="27">
        <v>2</v>
      </c>
      <c r="H5" s="27">
        <v>3</v>
      </c>
      <c r="I5" s="27">
        <v>2</v>
      </c>
      <c r="J5" s="27">
        <v>1</v>
      </c>
      <c r="K5" s="27">
        <v>0</v>
      </c>
      <c r="L5" s="27">
        <v>3</v>
      </c>
      <c r="M5" s="27">
        <v>2</v>
      </c>
      <c r="N5" s="27">
        <v>1</v>
      </c>
      <c r="O5" s="28" t="s">
        <v>19</v>
      </c>
    </row>
    <row r="6" spans="1:15" ht="42" thickBot="1" x14ac:dyDescent="0.35">
      <c r="A6" s="24">
        <v>103</v>
      </c>
      <c r="B6" s="25" t="s">
        <v>20</v>
      </c>
      <c r="C6" s="26" t="s">
        <v>21</v>
      </c>
      <c r="D6" s="27">
        <v>3</v>
      </c>
      <c r="E6" s="27">
        <v>0</v>
      </c>
      <c r="F6" s="27">
        <v>3</v>
      </c>
      <c r="G6" s="27">
        <v>2</v>
      </c>
      <c r="H6" s="27">
        <v>2</v>
      </c>
      <c r="I6" s="27">
        <v>2</v>
      </c>
      <c r="J6" s="27">
        <v>4</v>
      </c>
      <c r="K6" s="27">
        <v>2</v>
      </c>
      <c r="L6" s="27">
        <v>2</v>
      </c>
      <c r="M6" s="27">
        <v>3</v>
      </c>
      <c r="N6" s="27">
        <v>1</v>
      </c>
      <c r="O6" s="29">
        <v>58.54</v>
      </c>
    </row>
    <row r="7" spans="1:15" ht="42" thickBot="1" x14ac:dyDescent="0.35">
      <c r="A7" s="24">
        <v>104</v>
      </c>
      <c r="B7" s="25" t="s">
        <v>22</v>
      </c>
      <c r="C7" s="26" t="s">
        <v>23</v>
      </c>
      <c r="D7" s="27">
        <v>1</v>
      </c>
      <c r="E7" s="27">
        <v>1</v>
      </c>
      <c r="F7" s="27">
        <v>3</v>
      </c>
      <c r="G7" s="27">
        <v>2</v>
      </c>
      <c r="H7" s="27">
        <v>2</v>
      </c>
      <c r="I7" s="27">
        <v>1</v>
      </c>
      <c r="J7" s="27">
        <v>3</v>
      </c>
      <c r="K7" s="27">
        <v>2</v>
      </c>
      <c r="L7" s="27">
        <v>2</v>
      </c>
      <c r="M7" s="27">
        <v>2</v>
      </c>
      <c r="N7" s="27">
        <v>1</v>
      </c>
      <c r="O7" s="30"/>
    </row>
    <row r="8" spans="1:15" ht="42" thickBot="1" x14ac:dyDescent="0.35">
      <c r="A8" s="24">
        <v>105</v>
      </c>
      <c r="B8" s="25" t="s">
        <v>24</v>
      </c>
      <c r="C8" s="26" t="s">
        <v>25</v>
      </c>
      <c r="D8" s="27">
        <v>1</v>
      </c>
      <c r="E8" s="27">
        <v>1</v>
      </c>
      <c r="F8" s="27">
        <v>3</v>
      </c>
      <c r="G8" s="27">
        <v>2</v>
      </c>
      <c r="H8" s="27">
        <v>5</v>
      </c>
      <c r="I8" s="27">
        <v>2</v>
      </c>
      <c r="J8" s="27">
        <v>2</v>
      </c>
      <c r="K8" s="27">
        <v>2</v>
      </c>
      <c r="L8" s="27">
        <v>2</v>
      </c>
      <c r="M8" s="27">
        <v>3</v>
      </c>
      <c r="N8" s="27">
        <v>1</v>
      </c>
      <c r="O8" s="30"/>
    </row>
    <row r="9" spans="1:15" ht="42" thickBot="1" x14ac:dyDescent="0.35">
      <c r="A9" s="20">
        <v>106</v>
      </c>
      <c r="B9" s="21" t="s">
        <v>26</v>
      </c>
      <c r="C9" s="22" t="s">
        <v>27</v>
      </c>
      <c r="D9" s="18">
        <v>4</v>
      </c>
      <c r="E9" s="18">
        <v>1</v>
      </c>
      <c r="F9" s="18">
        <v>5</v>
      </c>
      <c r="G9" s="18">
        <v>3</v>
      </c>
      <c r="H9" s="18">
        <v>4</v>
      </c>
      <c r="I9" s="18">
        <v>2</v>
      </c>
      <c r="J9" s="18">
        <v>5</v>
      </c>
      <c r="K9" s="18">
        <v>2</v>
      </c>
      <c r="L9" s="18">
        <v>3</v>
      </c>
      <c r="M9" s="18">
        <v>5</v>
      </c>
      <c r="N9" s="18">
        <v>1</v>
      </c>
      <c r="O9" s="23">
        <v>85.37</v>
      </c>
    </row>
    <row r="10" spans="1:15" ht="42" thickBot="1" x14ac:dyDescent="0.35">
      <c r="A10" s="24">
        <v>107</v>
      </c>
      <c r="B10" s="25" t="s">
        <v>28</v>
      </c>
      <c r="C10" s="26" t="s">
        <v>29</v>
      </c>
      <c r="D10" s="27">
        <v>3</v>
      </c>
      <c r="E10" s="27">
        <v>1</v>
      </c>
      <c r="F10" s="27">
        <v>4</v>
      </c>
      <c r="G10" s="27">
        <v>3</v>
      </c>
      <c r="H10" s="27">
        <v>4</v>
      </c>
      <c r="I10" s="27">
        <v>1</v>
      </c>
      <c r="J10" s="27">
        <v>4</v>
      </c>
      <c r="K10" s="27">
        <v>2</v>
      </c>
      <c r="L10" s="27">
        <v>3</v>
      </c>
      <c r="M10" s="27">
        <v>3</v>
      </c>
      <c r="N10" s="27">
        <v>2</v>
      </c>
      <c r="O10" s="29">
        <v>73.17</v>
      </c>
    </row>
    <row r="11" spans="1:15" ht="42" thickBot="1" x14ac:dyDescent="0.35">
      <c r="A11" s="20">
        <v>108</v>
      </c>
      <c r="B11" s="21" t="s">
        <v>30</v>
      </c>
      <c r="C11" s="22" t="s">
        <v>31</v>
      </c>
      <c r="D11" s="18">
        <v>3</v>
      </c>
      <c r="E11" s="18">
        <v>1</v>
      </c>
      <c r="F11" s="18">
        <v>4</v>
      </c>
      <c r="G11" s="18">
        <v>3</v>
      </c>
      <c r="H11" s="18">
        <v>3</v>
      </c>
      <c r="I11" s="18">
        <v>2</v>
      </c>
      <c r="J11" s="18">
        <v>5</v>
      </c>
      <c r="K11" s="18">
        <v>2</v>
      </c>
      <c r="L11" s="18">
        <v>3</v>
      </c>
      <c r="M11" s="18">
        <v>4</v>
      </c>
      <c r="N11" s="18">
        <v>2</v>
      </c>
      <c r="O11" s="23">
        <v>78.05</v>
      </c>
    </row>
    <row r="12" spans="1:15" ht="42" thickBot="1" x14ac:dyDescent="0.35">
      <c r="A12" s="24">
        <v>109</v>
      </c>
      <c r="B12" s="25" t="s">
        <v>32</v>
      </c>
      <c r="C12" s="26" t="s">
        <v>33</v>
      </c>
      <c r="D12" s="27">
        <v>1</v>
      </c>
      <c r="E12" s="27">
        <v>0</v>
      </c>
      <c r="F12" s="27">
        <v>1</v>
      </c>
      <c r="G12" s="27">
        <v>2</v>
      </c>
      <c r="H12" s="27">
        <v>4</v>
      </c>
      <c r="I12" s="27">
        <v>0</v>
      </c>
      <c r="J12" s="27">
        <v>2</v>
      </c>
      <c r="K12" s="27">
        <v>2</v>
      </c>
      <c r="L12" s="27">
        <v>1</v>
      </c>
      <c r="M12" s="27">
        <v>1</v>
      </c>
      <c r="N12" s="27">
        <v>0</v>
      </c>
      <c r="O12" s="29">
        <v>34.15</v>
      </c>
    </row>
    <row r="13" spans="1:15" ht="55.8" thickBot="1" x14ac:dyDescent="0.35">
      <c r="A13" s="20">
        <v>110</v>
      </c>
      <c r="B13" s="21" t="s">
        <v>34</v>
      </c>
      <c r="C13" s="22" t="s">
        <v>35</v>
      </c>
      <c r="D13" s="18">
        <v>2</v>
      </c>
      <c r="E13" s="18">
        <v>1</v>
      </c>
      <c r="F13" s="18">
        <v>4</v>
      </c>
      <c r="G13" s="18">
        <v>3</v>
      </c>
      <c r="H13" s="18">
        <v>4</v>
      </c>
      <c r="I13" s="18">
        <v>1</v>
      </c>
      <c r="J13" s="18">
        <v>4</v>
      </c>
      <c r="K13" s="18">
        <v>2</v>
      </c>
      <c r="L13" s="18">
        <v>3</v>
      </c>
      <c r="M13" s="18">
        <v>5</v>
      </c>
      <c r="N13" s="18">
        <v>2</v>
      </c>
      <c r="O13" s="23">
        <v>75.61</v>
      </c>
    </row>
    <row r="14" spans="1:15" ht="42" thickBot="1" x14ac:dyDescent="0.35">
      <c r="A14" s="24">
        <v>111</v>
      </c>
      <c r="B14" s="25" t="s">
        <v>36</v>
      </c>
      <c r="C14" s="26" t="s">
        <v>37</v>
      </c>
      <c r="D14" s="27">
        <v>2</v>
      </c>
      <c r="E14" s="27">
        <v>1</v>
      </c>
      <c r="F14" s="27">
        <v>3</v>
      </c>
      <c r="G14" s="27">
        <v>3</v>
      </c>
      <c r="H14" s="27">
        <v>5</v>
      </c>
      <c r="I14" s="27">
        <v>2</v>
      </c>
      <c r="J14" s="27">
        <v>2</v>
      </c>
      <c r="K14" s="27">
        <v>2</v>
      </c>
      <c r="L14" s="27">
        <v>2</v>
      </c>
      <c r="M14" s="27">
        <v>3</v>
      </c>
      <c r="N14" s="27">
        <v>1</v>
      </c>
      <c r="O14" s="29">
        <v>63.41</v>
      </c>
    </row>
    <row r="15" spans="1:15" ht="42" thickBot="1" x14ac:dyDescent="0.35">
      <c r="A15" s="20">
        <v>112</v>
      </c>
      <c r="B15" s="21" t="s">
        <v>38</v>
      </c>
      <c r="C15" s="22" t="s">
        <v>39</v>
      </c>
      <c r="D15" s="18">
        <v>4</v>
      </c>
      <c r="E15" s="18">
        <v>1</v>
      </c>
      <c r="F15" s="18">
        <v>4</v>
      </c>
      <c r="G15" s="18">
        <v>3</v>
      </c>
      <c r="H15" s="18">
        <v>4</v>
      </c>
      <c r="I15" s="18">
        <v>1</v>
      </c>
      <c r="J15" s="18">
        <v>4</v>
      </c>
      <c r="K15" s="18">
        <v>2</v>
      </c>
      <c r="L15" s="18">
        <v>4</v>
      </c>
      <c r="M15" s="18">
        <v>4</v>
      </c>
      <c r="N15" s="18">
        <v>1</v>
      </c>
      <c r="O15" s="23">
        <v>78.05</v>
      </c>
    </row>
    <row r="16" spans="1:15" ht="55.8" thickBot="1" x14ac:dyDescent="0.35">
      <c r="A16" s="24">
        <v>113</v>
      </c>
      <c r="B16" s="25" t="s">
        <v>40</v>
      </c>
      <c r="C16" s="26" t="s">
        <v>41</v>
      </c>
      <c r="D16" s="27">
        <v>2</v>
      </c>
      <c r="E16" s="27">
        <v>1</v>
      </c>
      <c r="F16" s="27">
        <v>3</v>
      </c>
      <c r="G16" s="27">
        <v>2</v>
      </c>
      <c r="H16" s="27">
        <v>5</v>
      </c>
      <c r="I16" s="27">
        <v>1</v>
      </c>
      <c r="J16" s="27">
        <v>5</v>
      </c>
      <c r="K16" s="27">
        <v>2</v>
      </c>
      <c r="L16" s="27">
        <v>3</v>
      </c>
      <c r="M16" s="27">
        <v>3</v>
      </c>
      <c r="N16" s="27">
        <v>2</v>
      </c>
      <c r="O16" s="29">
        <v>70.73</v>
      </c>
    </row>
    <row r="17" spans="1:15" ht="42" thickBot="1" x14ac:dyDescent="0.35">
      <c r="A17" s="20">
        <v>114</v>
      </c>
      <c r="B17" s="21" t="s">
        <v>42</v>
      </c>
      <c r="C17" s="22" t="s">
        <v>43</v>
      </c>
      <c r="D17" s="18">
        <v>4</v>
      </c>
      <c r="E17" s="18">
        <v>1</v>
      </c>
      <c r="F17" s="18">
        <v>5</v>
      </c>
      <c r="G17" s="18">
        <v>3</v>
      </c>
      <c r="H17" s="18">
        <v>4</v>
      </c>
      <c r="I17" s="18">
        <v>2</v>
      </c>
      <c r="J17" s="18">
        <v>5</v>
      </c>
      <c r="K17" s="18">
        <v>2</v>
      </c>
      <c r="L17" s="18">
        <v>3</v>
      </c>
      <c r="M17" s="18">
        <v>5</v>
      </c>
      <c r="N17" s="18">
        <v>1</v>
      </c>
      <c r="O17" s="23">
        <v>85.37</v>
      </c>
    </row>
    <row r="18" spans="1:15" ht="55.8" thickBot="1" x14ac:dyDescent="0.35">
      <c r="A18" s="24">
        <v>115</v>
      </c>
      <c r="B18" s="25" t="s">
        <v>44</v>
      </c>
      <c r="C18" s="26" t="s">
        <v>45</v>
      </c>
      <c r="D18" s="27">
        <v>1</v>
      </c>
      <c r="E18" s="27">
        <v>0</v>
      </c>
      <c r="F18" s="27">
        <v>2</v>
      </c>
      <c r="G18" s="27">
        <v>2</v>
      </c>
      <c r="H18" s="27">
        <v>5</v>
      </c>
      <c r="I18" s="27">
        <v>1</v>
      </c>
      <c r="J18" s="27">
        <v>3</v>
      </c>
      <c r="K18" s="27">
        <v>2</v>
      </c>
      <c r="L18" s="27">
        <v>1</v>
      </c>
      <c r="M18" s="27">
        <v>2</v>
      </c>
      <c r="N18" s="27">
        <v>2</v>
      </c>
      <c r="O18" s="29">
        <v>51.22</v>
      </c>
    </row>
    <row r="19" spans="1:15" ht="42" thickBot="1" x14ac:dyDescent="0.35">
      <c r="A19" s="20">
        <v>116</v>
      </c>
      <c r="B19" s="21" t="s">
        <v>46</v>
      </c>
      <c r="C19" s="22" t="s">
        <v>47</v>
      </c>
      <c r="D19" s="18">
        <v>4</v>
      </c>
      <c r="E19" s="18">
        <v>1</v>
      </c>
      <c r="F19" s="18">
        <v>3</v>
      </c>
      <c r="G19" s="18">
        <v>3</v>
      </c>
      <c r="H19" s="18">
        <v>5</v>
      </c>
      <c r="I19" s="18">
        <v>2</v>
      </c>
      <c r="J19" s="18">
        <v>3</v>
      </c>
      <c r="K19" s="18">
        <v>2</v>
      </c>
      <c r="L19" s="18">
        <v>4</v>
      </c>
      <c r="M19" s="18">
        <v>5</v>
      </c>
      <c r="N19" s="18">
        <v>1</v>
      </c>
      <c r="O19" s="23">
        <v>80.489999999999995</v>
      </c>
    </row>
    <row r="20" spans="1:15" ht="55.8" thickBot="1" x14ac:dyDescent="0.35">
      <c r="A20" s="24">
        <v>117</v>
      </c>
      <c r="B20" s="25" t="s">
        <v>48</v>
      </c>
      <c r="C20" s="26" t="s">
        <v>49</v>
      </c>
      <c r="D20" s="27">
        <v>2</v>
      </c>
      <c r="E20" s="27">
        <v>1</v>
      </c>
      <c r="F20" s="27">
        <v>1</v>
      </c>
      <c r="G20" s="27">
        <v>2</v>
      </c>
      <c r="H20" s="27">
        <v>5</v>
      </c>
      <c r="I20" s="27">
        <v>1</v>
      </c>
      <c r="J20" s="27">
        <v>3</v>
      </c>
      <c r="K20" s="27">
        <v>2</v>
      </c>
      <c r="L20" s="27">
        <v>3</v>
      </c>
      <c r="M20" s="27">
        <v>2</v>
      </c>
      <c r="N20" s="27">
        <v>2</v>
      </c>
      <c r="O20" s="29">
        <v>58.54</v>
      </c>
    </row>
    <row r="21" spans="1:15" ht="42" thickBot="1" x14ac:dyDescent="0.35">
      <c r="A21" s="24">
        <v>118</v>
      </c>
      <c r="B21" s="25" t="s">
        <v>50</v>
      </c>
      <c r="C21" s="26" t="s">
        <v>51</v>
      </c>
      <c r="D21" s="27">
        <v>2</v>
      </c>
      <c r="E21" s="27">
        <v>1</v>
      </c>
      <c r="F21" s="27">
        <v>3</v>
      </c>
      <c r="G21" s="27">
        <v>2</v>
      </c>
      <c r="H21" s="27">
        <v>4</v>
      </c>
      <c r="I21" s="27">
        <v>2</v>
      </c>
      <c r="J21" s="27">
        <v>3</v>
      </c>
      <c r="K21" s="27">
        <v>2</v>
      </c>
      <c r="L21" s="27">
        <v>3</v>
      </c>
      <c r="M21" s="27">
        <v>3</v>
      </c>
      <c r="N21" s="27">
        <v>1</v>
      </c>
      <c r="O21" s="29">
        <v>63.41</v>
      </c>
    </row>
    <row r="22" spans="1:15" ht="42" thickBot="1" x14ac:dyDescent="0.35">
      <c r="A22" s="20">
        <v>119</v>
      </c>
      <c r="B22" s="21" t="s">
        <v>52</v>
      </c>
      <c r="C22" s="22" t="s">
        <v>53</v>
      </c>
      <c r="D22" s="18">
        <v>3</v>
      </c>
      <c r="E22" s="18">
        <v>1</v>
      </c>
      <c r="F22" s="18">
        <v>5</v>
      </c>
      <c r="G22" s="18">
        <v>3</v>
      </c>
      <c r="H22" s="18">
        <v>4</v>
      </c>
      <c r="I22" s="18">
        <v>1</v>
      </c>
      <c r="J22" s="18">
        <v>5</v>
      </c>
      <c r="K22" s="18">
        <v>2</v>
      </c>
      <c r="L22" s="18">
        <v>3</v>
      </c>
      <c r="M22" s="18">
        <v>5</v>
      </c>
      <c r="N22" s="18">
        <v>1</v>
      </c>
      <c r="O22" s="23">
        <v>80.489999999999995</v>
      </c>
    </row>
    <row r="23" spans="1:15" ht="42" thickBot="1" x14ac:dyDescent="0.35">
      <c r="A23" s="24">
        <v>120</v>
      </c>
      <c r="B23" s="25" t="s">
        <v>54</v>
      </c>
      <c r="C23" s="26" t="s">
        <v>55</v>
      </c>
      <c r="D23" s="27">
        <v>3</v>
      </c>
      <c r="E23" s="27">
        <v>0</v>
      </c>
      <c r="F23" s="27">
        <v>4</v>
      </c>
      <c r="G23" s="27">
        <v>2</v>
      </c>
      <c r="H23" s="27">
        <v>4</v>
      </c>
      <c r="I23" s="27">
        <v>2</v>
      </c>
      <c r="J23" s="27">
        <v>4</v>
      </c>
      <c r="K23" s="27">
        <v>2</v>
      </c>
      <c r="L23" s="27">
        <v>2</v>
      </c>
      <c r="M23" s="27">
        <v>3</v>
      </c>
      <c r="N23" s="27">
        <v>2</v>
      </c>
      <c r="O23" s="28" t="s">
        <v>56</v>
      </c>
    </row>
    <row r="24" spans="1:15" ht="42" thickBot="1" x14ac:dyDescent="0.35">
      <c r="A24" s="24">
        <v>121</v>
      </c>
      <c r="B24" s="25" t="s">
        <v>57</v>
      </c>
      <c r="C24" s="26" t="s">
        <v>58</v>
      </c>
      <c r="D24" s="27">
        <v>1</v>
      </c>
      <c r="E24" s="27">
        <v>1</v>
      </c>
      <c r="F24" s="27">
        <v>2</v>
      </c>
      <c r="G24" s="27">
        <v>3</v>
      </c>
      <c r="H24" s="27">
        <v>3</v>
      </c>
      <c r="I24" s="27">
        <v>1</v>
      </c>
      <c r="J24" s="27">
        <v>4</v>
      </c>
      <c r="K24" s="27">
        <v>2</v>
      </c>
      <c r="L24" s="27">
        <v>1</v>
      </c>
      <c r="M24" s="27">
        <v>4</v>
      </c>
      <c r="N24" s="27">
        <v>1</v>
      </c>
      <c r="O24" s="29">
        <v>51.22</v>
      </c>
    </row>
    <row r="25" spans="1:15" ht="42" thickBot="1" x14ac:dyDescent="0.35">
      <c r="A25" s="24">
        <v>122</v>
      </c>
      <c r="B25" s="25" t="s">
        <v>59</v>
      </c>
      <c r="C25" s="26" t="s">
        <v>60</v>
      </c>
      <c r="D25" s="27">
        <v>3</v>
      </c>
      <c r="E25" s="27">
        <v>1</v>
      </c>
      <c r="F25" s="27">
        <v>2</v>
      </c>
      <c r="G25" s="27">
        <v>2</v>
      </c>
      <c r="H25" s="27">
        <v>2</v>
      </c>
      <c r="I25" s="27">
        <v>1</v>
      </c>
      <c r="J25" s="27">
        <v>3</v>
      </c>
      <c r="K25" s="27">
        <v>2</v>
      </c>
      <c r="L25" s="27">
        <v>2</v>
      </c>
      <c r="M25" s="27">
        <v>2</v>
      </c>
      <c r="N25" s="27">
        <v>1</v>
      </c>
      <c r="O25" s="30"/>
    </row>
    <row r="26" spans="1:15" ht="42" thickBot="1" x14ac:dyDescent="0.35">
      <c r="A26" s="20">
        <v>123</v>
      </c>
      <c r="B26" s="21" t="s">
        <v>61</v>
      </c>
      <c r="C26" s="22" t="s">
        <v>62</v>
      </c>
      <c r="D26" s="18">
        <v>4</v>
      </c>
      <c r="E26" s="18">
        <v>1</v>
      </c>
      <c r="F26" s="18">
        <v>3</v>
      </c>
      <c r="G26" s="18">
        <v>2</v>
      </c>
      <c r="H26" s="18">
        <v>5</v>
      </c>
      <c r="I26" s="18">
        <v>2</v>
      </c>
      <c r="J26" s="18">
        <v>3</v>
      </c>
      <c r="K26" s="18">
        <v>2</v>
      </c>
      <c r="L26" s="18">
        <v>4</v>
      </c>
      <c r="M26" s="18">
        <v>5</v>
      </c>
      <c r="N26" s="18">
        <v>1</v>
      </c>
      <c r="O26" s="23">
        <v>78.05</v>
      </c>
    </row>
    <row r="27" spans="1:15" ht="42" thickBot="1" x14ac:dyDescent="0.35">
      <c r="A27" s="24">
        <v>124</v>
      </c>
      <c r="B27" s="25" t="s">
        <v>63</v>
      </c>
      <c r="C27" s="26" t="s">
        <v>64</v>
      </c>
      <c r="D27" s="27">
        <v>1</v>
      </c>
      <c r="E27" s="27">
        <v>0</v>
      </c>
      <c r="F27" s="27">
        <v>3</v>
      </c>
      <c r="G27" s="27">
        <v>2</v>
      </c>
      <c r="H27" s="27">
        <v>2</v>
      </c>
      <c r="I27" s="27">
        <v>1</v>
      </c>
      <c r="J27" s="27">
        <v>3</v>
      </c>
      <c r="K27" s="27">
        <v>2</v>
      </c>
      <c r="L27" s="27">
        <v>2</v>
      </c>
      <c r="M27" s="27">
        <v>4</v>
      </c>
      <c r="N27" s="27">
        <v>1</v>
      </c>
      <c r="O27" s="29">
        <v>51.22</v>
      </c>
    </row>
    <row r="28" spans="1:15" ht="42" thickBot="1" x14ac:dyDescent="0.35">
      <c r="A28" s="24">
        <v>125</v>
      </c>
      <c r="B28" s="25" t="s">
        <v>65</v>
      </c>
      <c r="C28" s="26" t="s">
        <v>66</v>
      </c>
      <c r="D28" s="27">
        <v>3</v>
      </c>
      <c r="E28" s="27">
        <v>0</v>
      </c>
      <c r="F28" s="27">
        <v>2</v>
      </c>
      <c r="G28" s="27">
        <v>3</v>
      </c>
      <c r="H28" s="27">
        <v>4</v>
      </c>
      <c r="I28" s="27">
        <v>2</v>
      </c>
      <c r="J28" s="27">
        <v>3</v>
      </c>
      <c r="K28" s="27">
        <v>2</v>
      </c>
      <c r="L28" s="27">
        <v>3</v>
      </c>
      <c r="M28" s="27">
        <v>3</v>
      </c>
      <c r="N28" s="27">
        <v>1</v>
      </c>
      <c r="O28" s="31">
        <v>63.41</v>
      </c>
    </row>
    <row r="29" spans="1:15" ht="28.2" thickBot="1" x14ac:dyDescent="0.35">
      <c r="A29" s="8"/>
      <c r="B29" s="9"/>
      <c r="C29" s="32" t="s">
        <v>4</v>
      </c>
      <c r="D29" s="11" t="s">
        <v>5</v>
      </c>
      <c r="E29" s="11" t="s">
        <v>5</v>
      </c>
      <c r="F29" s="12" t="s">
        <v>6</v>
      </c>
      <c r="G29" s="10" t="s">
        <v>6</v>
      </c>
      <c r="H29" s="11" t="s">
        <v>8</v>
      </c>
      <c r="I29" s="11" t="s">
        <v>8</v>
      </c>
      <c r="J29" s="11" t="s">
        <v>9</v>
      </c>
      <c r="K29" s="11" t="s">
        <v>9</v>
      </c>
      <c r="L29" s="11" t="s">
        <v>10</v>
      </c>
      <c r="M29" s="11" t="s">
        <v>11</v>
      </c>
      <c r="N29" s="12" t="s">
        <v>67</v>
      </c>
      <c r="O29" s="33"/>
    </row>
    <row r="30" spans="1:15" ht="55.8" thickBot="1" x14ac:dyDescent="0.35">
      <c r="A30" s="15"/>
      <c r="B30" s="34" t="s">
        <v>68</v>
      </c>
      <c r="C30" s="35" t="s">
        <v>14</v>
      </c>
      <c r="D30" s="18">
        <v>6</v>
      </c>
      <c r="E30" s="18">
        <v>1</v>
      </c>
      <c r="F30" s="18">
        <v>5</v>
      </c>
      <c r="G30" s="18">
        <v>0</v>
      </c>
      <c r="H30" s="18">
        <v>5</v>
      </c>
      <c r="I30" s="18">
        <v>3</v>
      </c>
      <c r="J30" s="18">
        <v>5</v>
      </c>
      <c r="K30" s="18">
        <v>2</v>
      </c>
      <c r="L30" s="18">
        <v>4</v>
      </c>
      <c r="M30" s="18">
        <v>5</v>
      </c>
      <c r="N30" s="18">
        <v>3</v>
      </c>
      <c r="O30" s="19">
        <v>39</v>
      </c>
    </row>
    <row r="31" spans="1:15" ht="42" thickBot="1" x14ac:dyDescent="0.35">
      <c r="A31" s="20">
        <v>126</v>
      </c>
      <c r="B31" s="21" t="s">
        <v>69</v>
      </c>
      <c r="C31" s="22" t="s">
        <v>70</v>
      </c>
      <c r="D31" s="18">
        <v>2</v>
      </c>
      <c r="E31" s="18">
        <v>1</v>
      </c>
      <c r="F31" s="18">
        <v>3</v>
      </c>
      <c r="G31" s="18">
        <v>0</v>
      </c>
      <c r="H31" s="18">
        <v>3</v>
      </c>
      <c r="I31" s="18">
        <v>1</v>
      </c>
      <c r="J31" s="18">
        <v>3</v>
      </c>
      <c r="K31" s="18">
        <v>2</v>
      </c>
      <c r="L31" s="18">
        <v>2</v>
      </c>
      <c r="M31" s="18">
        <v>3</v>
      </c>
      <c r="N31" s="18">
        <v>2</v>
      </c>
      <c r="O31" s="29">
        <v>56.41</v>
      </c>
    </row>
    <row r="32" spans="1:15" ht="42" thickBot="1" x14ac:dyDescent="0.35">
      <c r="A32" s="20">
        <v>127</v>
      </c>
      <c r="B32" s="21" t="s">
        <v>71</v>
      </c>
      <c r="C32" s="22" t="s">
        <v>72</v>
      </c>
      <c r="D32" s="18">
        <v>2</v>
      </c>
      <c r="E32" s="18">
        <v>1</v>
      </c>
      <c r="F32" s="18">
        <v>1</v>
      </c>
      <c r="G32" s="18">
        <v>0</v>
      </c>
      <c r="H32" s="18">
        <v>4</v>
      </c>
      <c r="I32" s="18">
        <v>1</v>
      </c>
      <c r="J32" s="18">
        <v>3</v>
      </c>
      <c r="K32" s="18">
        <v>2</v>
      </c>
      <c r="L32" s="18">
        <v>3</v>
      </c>
      <c r="M32" s="18">
        <v>3</v>
      </c>
      <c r="N32" s="18">
        <v>3</v>
      </c>
      <c r="O32" s="29">
        <v>58.97</v>
      </c>
    </row>
    <row r="33" spans="1:15" ht="55.8" thickBot="1" x14ac:dyDescent="0.35">
      <c r="A33" s="20">
        <v>128</v>
      </c>
      <c r="B33" s="21" t="s">
        <v>73</v>
      </c>
      <c r="C33" s="22" t="s">
        <v>74</v>
      </c>
      <c r="D33" s="18">
        <v>3</v>
      </c>
      <c r="E33" s="18">
        <v>1</v>
      </c>
      <c r="F33" s="18">
        <v>4</v>
      </c>
      <c r="G33" s="18">
        <v>0</v>
      </c>
      <c r="H33" s="18">
        <v>5</v>
      </c>
      <c r="I33" s="18">
        <v>3</v>
      </c>
      <c r="J33" s="18">
        <v>4</v>
      </c>
      <c r="K33" s="18">
        <v>2</v>
      </c>
      <c r="L33" s="18">
        <v>3</v>
      </c>
      <c r="M33" s="18">
        <v>4</v>
      </c>
      <c r="N33" s="18">
        <v>3</v>
      </c>
      <c r="O33" s="23">
        <v>82.05</v>
      </c>
    </row>
    <row r="34" spans="1:15" ht="42" thickBot="1" x14ac:dyDescent="0.35">
      <c r="A34" s="24">
        <v>129</v>
      </c>
      <c r="B34" s="25" t="s">
        <v>75</v>
      </c>
      <c r="C34" s="26" t="s">
        <v>76</v>
      </c>
      <c r="D34" s="27">
        <v>1</v>
      </c>
      <c r="E34" s="27">
        <v>1</v>
      </c>
      <c r="F34" s="27">
        <v>2</v>
      </c>
      <c r="G34" s="27">
        <v>0</v>
      </c>
      <c r="H34" s="27">
        <v>5</v>
      </c>
      <c r="I34" s="27">
        <v>2</v>
      </c>
      <c r="J34" s="27">
        <v>3</v>
      </c>
      <c r="K34" s="27">
        <v>2</v>
      </c>
      <c r="L34" s="27">
        <v>1</v>
      </c>
      <c r="M34" s="27">
        <v>3</v>
      </c>
      <c r="N34" s="27">
        <v>2</v>
      </c>
      <c r="O34" s="28" t="s">
        <v>77</v>
      </c>
    </row>
    <row r="35" spans="1:15" ht="42" thickBot="1" x14ac:dyDescent="0.35">
      <c r="A35" s="24">
        <v>130</v>
      </c>
      <c r="B35" s="25" t="s">
        <v>78</v>
      </c>
      <c r="C35" s="26" t="s">
        <v>79</v>
      </c>
      <c r="D35" s="27">
        <v>3</v>
      </c>
      <c r="E35" s="27">
        <v>1</v>
      </c>
      <c r="F35" s="27">
        <v>1</v>
      </c>
      <c r="G35" s="27">
        <v>0</v>
      </c>
      <c r="H35" s="27">
        <v>4</v>
      </c>
      <c r="I35" s="27">
        <v>2</v>
      </c>
      <c r="J35" s="27">
        <v>4</v>
      </c>
      <c r="K35" s="27">
        <v>2</v>
      </c>
      <c r="L35" s="27">
        <v>3</v>
      </c>
      <c r="M35" s="27">
        <v>2</v>
      </c>
      <c r="N35" s="27">
        <v>1</v>
      </c>
      <c r="O35" s="29">
        <v>66.67</v>
      </c>
    </row>
    <row r="36" spans="1:15" ht="55.8" thickBot="1" x14ac:dyDescent="0.35">
      <c r="A36" s="24">
        <v>131</v>
      </c>
      <c r="B36" s="25" t="s">
        <v>80</v>
      </c>
      <c r="C36" s="26" t="s">
        <v>81</v>
      </c>
      <c r="D36" s="27">
        <v>1</v>
      </c>
      <c r="E36" s="27">
        <v>1</v>
      </c>
      <c r="F36" s="27">
        <v>3</v>
      </c>
      <c r="G36" s="27">
        <v>0</v>
      </c>
      <c r="H36" s="27">
        <v>0</v>
      </c>
      <c r="I36" s="27">
        <v>1</v>
      </c>
      <c r="J36" s="27">
        <v>2</v>
      </c>
      <c r="K36" s="27">
        <v>2</v>
      </c>
      <c r="L36" s="27">
        <v>2</v>
      </c>
      <c r="M36" s="27">
        <v>3</v>
      </c>
      <c r="N36" s="27">
        <v>2</v>
      </c>
      <c r="O36" s="30"/>
    </row>
    <row r="37" spans="1:15" ht="55.8" thickBot="1" x14ac:dyDescent="0.35">
      <c r="A37" s="24">
        <v>132</v>
      </c>
      <c r="B37" s="25" t="s">
        <v>82</v>
      </c>
      <c r="C37" s="26" t="s">
        <v>83</v>
      </c>
      <c r="D37" s="27">
        <v>3</v>
      </c>
      <c r="E37" s="27">
        <v>1</v>
      </c>
      <c r="F37" s="27">
        <v>3</v>
      </c>
      <c r="G37" s="27">
        <v>0</v>
      </c>
      <c r="H37" s="27">
        <v>4</v>
      </c>
      <c r="I37" s="27">
        <v>2</v>
      </c>
      <c r="J37" s="27">
        <v>3</v>
      </c>
      <c r="K37" s="27">
        <v>2</v>
      </c>
      <c r="L37" s="27">
        <v>3</v>
      </c>
      <c r="M37" s="27">
        <v>3</v>
      </c>
      <c r="N37" s="27">
        <v>2</v>
      </c>
      <c r="O37" s="30"/>
    </row>
    <row r="38" spans="1:15" ht="15" thickBot="1" x14ac:dyDescent="0.35">
      <c r="A38" s="36"/>
    </row>
    <row r="39" spans="1:15" ht="15" thickBot="1" x14ac:dyDescent="0.35">
      <c r="A39" s="37"/>
      <c r="B39" s="38"/>
      <c r="C39" s="39" t="s">
        <v>84</v>
      </c>
      <c r="D39" s="79">
        <v>46054</v>
      </c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1"/>
    </row>
    <row r="40" spans="1:15" x14ac:dyDescent="0.3">
      <c r="A40" s="40" t="s">
        <v>85</v>
      </c>
      <c r="B40" s="83" t="s">
        <v>87</v>
      </c>
      <c r="C40" s="84" t="s">
        <v>88</v>
      </c>
      <c r="D40" s="62" t="s">
        <v>89</v>
      </c>
      <c r="E40" s="63"/>
      <c r="F40" s="62" t="s">
        <v>90</v>
      </c>
      <c r="G40" s="63"/>
      <c r="H40" s="62" t="s">
        <v>91</v>
      </c>
      <c r="I40" s="63"/>
      <c r="J40" s="66" t="s">
        <v>92</v>
      </c>
      <c r="K40" s="67"/>
      <c r="L40" s="70" t="s">
        <v>93</v>
      </c>
      <c r="M40" s="72" t="s">
        <v>94</v>
      </c>
      <c r="N40" s="58" t="s">
        <v>95</v>
      </c>
      <c r="O40" s="60" t="s">
        <v>96</v>
      </c>
    </row>
    <row r="41" spans="1:15" ht="15" thickBot="1" x14ac:dyDescent="0.35">
      <c r="A41" s="41" t="s">
        <v>86</v>
      </c>
      <c r="B41" s="83"/>
      <c r="C41" s="85"/>
      <c r="D41" s="64"/>
      <c r="E41" s="65"/>
      <c r="F41" s="64"/>
      <c r="G41" s="65"/>
      <c r="H41" s="64"/>
      <c r="I41" s="65"/>
      <c r="J41" s="68"/>
      <c r="K41" s="69"/>
      <c r="L41" s="71"/>
      <c r="M41" s="73"/>
      <c r="N41" s="59"/>
      <c r="O41" s="61"/>
    </row>
    <row r="42" spans="1:15" ht="27" thickBot="1" x14ac:dyDescent="0.35">
      <c r="A42" s="2"/>
      <c r="B42" s="3"/>
      <c r="C42" s="17" t="s">
        <v>0</v>
      </c>
      <c r="D42" s="42" t="s">
        <v>1</v>
      </c>
      <c r="E42" s="42" t="s">
        <v>2</v>
      </c>
      <c r="F42" s="42" t="s">
        <v>1</v>
      </c>
      <c r="G42" s="17" t="s">
        <v>2</v>
      </c>
      <c r="H42" s="42" t="s">
        <v>1</v>
      </c>
      <c r="I42" s="43" t="s">
        <v>2</v>
      </c>
      <c r="J42" s="42" t="s">
        <v>1</v>
      </c>
      <c r="K42" s="43" t="s">
        <v>3</v>
      </c>
      <c r="L42" s="43" t="s">
        <v>1</v>
      </c>
      <c r="M42" s="43" t="s">
        <v>1</v>
      </c>
      <c r="N42" s="17" t="s">
        <v>2</v>
      </c>
      <c r="O42" s="44"/>
    </row>
    <row r="43" spans="1:15" ht="53.4" thickBot="1" x14ac:dyDescent="0.35">
      <c r="A43" s="20">
        <v>133</v>
      </c>
      <c r="B43" s="21" t="s">
        <v>97</v>
      </c>
      <c r="C43" s="22" t="s">
        <v>98</v>
      </c>
      <c r="D43" s="18">
        <v>1</v>
      </c>
      <c r="E43" s="18">
        <v>0</v>
      </c>
      <c r="F43" s="18">
        <v>2</v>
      </c>
      <c r="G43" s="18">
        <v>0</v>
      </c>
      <c r="H43" s="18">
        <v>1</v>
      </c>
      <c r="I43" s="18">
        <v>1</v>
      </c>
      <c r="J43" s="18">
        <v>4</v>
      </c>
      <c r="K43" s="18">
        <v>2</v>
      </c>
      <c r="L43" s="18">
        <v>0</v>
      </c>
      <c r="M43" s="18">
        <v>4</v>
      </c>
      <c r="N43" s="18">
        <v>0</v>
      </c>
      <c r="O43" s="28" t="s">
        <v>99</v>
      </c>
    </row>
    <row r="44" spans="1:15" ht="42" thickBot="1" x14ac:dyDescent="0.35">
      <c r="A44" s="20">
        <v>134</v>
      </c>
      <c r="B44" s="21" t="s">
        <v>100</v>
      </c>
      <c r="C44" s="22" t="s">
        <v>101</v>
      </c>
      <c r="D44" s="18">
        <v>3</v>
      </c>
      <c r="E44" s="18">
        <v>0</v>
      </c>
      <c r="F44" s="18">
        <v>4</v>
      </c>
      <c r="G44" s="18">
        <v>0</v>
      </c>
      <c r="H44" s="18">
        <v>3</v>
      </c>
      <c r="I44" s="18">
        <v>3</v>
      </c>
      <c r="J44" s="18">
        <v>3</v>
      </c>
      <c r="K44" s="18">
        <v>2</v>
      </c>
      <c r="L44" s="18">
        <v>2</v>
      </c>
      <c r="M44" s="18">
        <v>4</v>
      </c>
      <c r="N44" s="18">
        <v>1</v>
      </c>
      <c r="O44" s="29">
        <v>41.03</v>
      </c>
    </row>
    <row r="45" spans="1:15" ht="55.8" thickBot="1" x14ac:dyDescent="0.35">
      <c r="A45" s="20">
        <v>135</v>
      </c>
      <c r="B45" s="21" t="s">
        <v>102</v>
      </c>
      <c r="C45" s="22" t="s">
        <v>103</v>
      </c>
      <c r="D45" s="18">
        <v>2</v>
      </c>
      <c r="E45" s="18">
        <v>1</v>
      </c>
      <c r="F45" s="18">
        <v>3</v>
      </c>
      <c r="G45" s="18">
        <v>0</v>
      </c>
      <c r="H45" s="18">
        <v>3</v>
      </c>
      <c r="I45" s="18">
        <v>1</v>
      </c>
      <c r="J45" s="18">
        <v>3</v>
      </c>
      <c r="K45" s="18">
        <v>2</v>
      </c>
      <c r="L45" s="18">
        <v>3</v>
      </c>
      <c r="M45" s="18">
        <v>3</v>
      </c>
      <c r="N45" s="18">
        <v>2</v>
      </c>
      <c r="O45" s="30"/>
    </row>
    <row r="46" spans="1:15" ht="42" thickBot="1" x14ac:dyDescent="0.35">
      <c r="A46" s="20">
        <v>136</v>
      </c>
      <c r="B46" s="21" t="s">
        <v>104</v>
      </c>
      <c r="C46" s="22" t="s">
        <v>105</v>
      </c>
      <c r="D46" s="18">
        <v>1</v>
      </c>
      <c r="E46" s="18">
        <v>0</v>
      </c>
      <c r="F46" s="18">
        <v>1</v>
      </c>
      <c r="G46" s="18">
        <v>0</v>
      </c>
      <c r="H46" s="18">
        <v>3</v>
      </c>
      <c r="I46" s="18">
        <v>2</v>
      </c>
      <c r="J46" s="18">
        <v>1</v>
      </c>
      <c r="K46" s="18">
        <v>2</v>
      </c>
      <c r="L46" s="18">
        <v>3</v>
      </c>
      <c r="M46" s="18">
        <v>3</v>
      </c>
      <c r="N46" s="18">
        <v>0</v>
      </c>
      <c r="O46" s="30"/>
    </row>
    <row r="47" spans="1:15" ht="55.8" thickBot="1" x14ac:dyDescent="0.35">
      <c r="A47" s="20">
        <v>137</v>
      </c>
      <c r="B47" s="21" t="s">
        <v>106</v>
      </c>
      <c r="C47" s="22" t="s">
        <v>107</v>
      </c>
      <c r="D47" s="18">
        <v>1</v>
      </c>
      <c r="E47" s="18">
        <v>1</v>
      </c>
      <c r="F47" s="18">
        <v>0</v>
      </c>
      <c r="G47" s="18">
        <v>0</v>
      </c>
      <c r="H47" s="18">
        <v>3</v>
      </c>
      <c r="I47" s="18">
        <v>1</v>
      </c>
      <c r="J47" s="18">
        <v>2</v>
      </c>
      <c r="K47" s="18">
        <v>2</v>
      </c>
      <c r="L47" s="18">
        <v>1</v>
      </c>
      <c r="M47" s="18">
        <v>2</v>
      </c>
      <c r="N47" s="18">
        <v>3</v>
      </c>
      <c r="O47" s="30"/>
    </row>
    <row r="48" spans="1:15" ht="42" thickBot="1" x14ac:dyDescent="0.35">
      <c r="A48" s="20">
        <v>138</v>
      </c>
      <c r="B48" s="21" t="s">
        <v>108</v>
      </c>
      <c r="C48" s="22" t="s">
        <v>109</v>
      </c>
      <c r="D48" s="18">
        <v>3</v>
      </c>
      <c r="E48" s="18">
        <v>1</v>
      </c>
      <c r="F48" s="18">
        <v>3</v>
      </c>
      <c r="G48" s="18">
        <v>0</v>
      </c>
      <c r="H48" s="18">
        <v>5</v>
      </c>
      <c r="I48" s="18">
        <v>3</v>
      </c>
      <c r="J48" s="18">
        <v>5</v>
      </c>
      <c r="K48" s="18">
        <v>2</v>
      </c>
      <c r="L48" s="18">
        <v>3</v>
      </c>
      <c r="M48" s="18">
        <v>4</v>
      </c>
      <c r="N48" s="18">
        <v>3</v>
      </c>
      <c r="O48" s="23">
        <v>82.05</v>
      </c>
    </row>
    <row r="49" spans="1:15" ht="42" thickBot="1" x14ac:dyDescent="0.35">
      <c r="A49" s="20">
        <v>139</v>
      </c>
      <c r="B49" s="21" t="s">
        <v>110</v>
      </c>
      <c r="C49" s="22" t="s">
        <v>111</v>
      </c>
      <c r="D49" s="18">
        <v>3</v>
      </c>
      <c r="E49" s="18">
        <v>1</v>
      </c>
      <c r="F49" s="18">
        <v>2</v>
      </c>
      <c r="G49" s="18">
        <v>0</v>
      </c>
      <c r="H49" s="18">
        <v>5</v>
      </c>
      <c r="I49" s="18">
        <v>3</v>
      </c>
      <c r="J49" s="18">
        <v>4</v>
      </c>
      <c r="K49" s="18">
        <v>2</v>
      </c>
      <c r="L49" s="18">
        <v>3</v>
      </c>
      <c r="M49" s="18">
        <v>4</v>
      </c>
      <c r="N49" s="18">
        <v>3</v>
      </c>
      <c r="O49" s="23">
        <v>76.92</v>
      </c>
    </row>
    <row r="50" spans="1:15" ht="42" thickBot="1" x14ac:dyDescent="0.35">
      <c r="A50" s="24">
        <v>140</v>
      </c>
      <c r="B50" s="25" t="s">
        <v>112</v>
      </c>
      <c r="C50" s="26" t="s">
        <v>113</v>
      </c>
      <c r="D50" s="27">
        <v>1</v>
      </c>
      <c r="E50" s="27">
        <v>1</v>
      </c>
      <c r="F50" s="27">
        <v>2</v>
      </c>
      <c r="G50" s="27">
        <v>0</v>
      </c>
      <c r="H50" s="27">
        <v>1</v>
      </c>
      <c r="I50" s="27">
        <v>2</v>
      </c>
      <c r="J50" s="27">
        <v>2</v>
      </c>
      <c r="K50" s="27">
        <v>2</v>
      </c>
      <c r="L50" s="27">
        <v>1</v>
      </c>
      <c r="M50" s="27">
        <v>3</v>
      </c>
      <c r="N50" s="27">
        <v>3</v>
      </c>
      <c r="O50" s="29">
        <v>46.15</v>
      </c>
    </row>
    <row r="51" spans="1:15" ht="42" thickBot="1" x14ac:dyDescent="0.35">
      <c r="A51" s="20">
        <v>141</v>
      </c>
      <c r="B51" s="21" t="s">
        <v>114</v>
      </c>
      <c r="C51" s="22" t="s">
        <v>115</v>
      </c>
      <c r="D51" s="18">
        <v>4</v>
      </c>
      <c r="E51" s="18">
        <v>1</v>
      </c>
      <c r="F51" s="18">
        <v>4</v>
      </c>
      <c r="G51" s="18">
        <v>0</v>
      </c>
      <c r="H51" s="18">
        <v>5</v>
      </c>
      <c r="I51" s="18">
        <v>3</v>
      </c>
      <c r="J51" s="18">
        <v>4</v>
      </c>
      <c r="K51" s="18">
        <v>2</v>
      </c>
      <c r="L51" s="18">
        <v>3</v>
      </c>
      <c r="M51" s="18">
        <v>4</v>
      </c>
      <c r="N51" s="18">
        <v>3</v>
      </c>
      <c r="O51" s="23">
        <v>84.62</v>
      </c>
    </row>
    <row r="52" spans="1:15" ht="55.8" thickBot="1" x14ac:dyDescent="0.35">
      <c r="A52" s="24">
        <v>142</v>
      </c>
      <c r="B52" s="25" t="s">
        <v>116</v>
      </c>
      <c r="C52" s="26" t="s">
        <v>117</v>
      </c>
      <c r="D52" s="27">
        <v>1</v>
      </c>
      <c r="E52" s="27">
        <v>0</v>
      </c>
      <c r="F52" s="27">
        <v>2</v>
      </c>
      <c r="G52" s="27">
        <v>0</v>
      </c>
      <c r="H52" s="27">
        <v>3</v>
      </c>
      <c r="I52" s="27">
        <v>1</v>
      </c>
      <c r="J52" s="27">
        <v>0</v>
      </c>
      <c r="K52" s="27">
        <v>0</v>
      </c>
      <c r="L52" s="27">
        <v>2</v>
      </c>
      <c r="M52" s="27">
        <v>2</v>
      </c>
      <c r="N52" s="27">
        <v>1</v>
      </c>
      <c r="O52" s="29">
        <v>30.77</v>
      </c>
    </row>
    <row r="53" spans="1:15" ht="42" thickBot="1" x14ac:dyDescent="0.35">
      <c r="A53" s="20">
        <v>143</v>
      </c>
      <c r="B53" s="21" t="s">
        <v>118</v>
      </c>
      <c r="C53" s="22" t="s">
        <v>119</v>
      </c>
      <c r="D53" s="18">
        <v>3</v>
      </c>
      <c r="E53" s="18">
        <v>1</v>
      </c>
      <c r="F53" s="18">
        <v>5</v>
      </c>
      <c r="G53" s="18">
        <v>0</v>
      </c>
      <c r="H53" s="18">
        <v>5</v>
      </c>
      <c r="I53" s="18">
        <v>3</v>
      </c>
      <c r="J53" s="18">
        <v>5</v>
      </c>
      <c r="K53" s="18">
        <v>2</v>
      </c>
      <c r="L53" s="18">
        <v>2</v>
      </c>
      <c r="M53" s="18">
        <v>5</v>
      </c>
      <c r="N53" s="18">
        <v>1</v>
      </c>
      <c r="O53" s="23">
        <v>82.05</v>
      </c>
    </row>
    <row r="54" spans="1:15" ht="79.8" thickBot="1" x14ac:dyDescent="0.35">
      <c r="A54" s="24">
        <v>144</v>
      </c>
      <c r="B54" s="25" t="s">
        <v>120</v>
      </c>
      <c r="C54" s="26" t="s">
        <v>121</v>
      </c>
      <c r="D54" s="27">
        <v>2</v>
      </c>
      <c r="E54" s="27">
        <v>1</v>
      </c>
      <c r="F54" s="27">
        <v>2</v>
      </c>
      <c r="G54" s="27">
        <v>0</v>
      </c>
      <c r="H54" s="27">
        <v>5</v>
      </c>
      <c r="I54" s="27">
        <v>3</v>
      </c>
      <c r="J54" s="27">
        <v>3</v>
      </c>
      <c r="K54" s="27">
        <v>2</v>
      </c>
      <c r="L54" s="27">
        <v>2</v>
      </c>
      <c r="M54" s="27">
        <v>4</v>
      </c>
      <c r="N54" s="27">
        <v>0</v>
      </c>
      <c r="O54" s="28" t="s">
        <v>122</v>
      </c>
    </row>
    <row r="55" spans="1:15" ht="42" thickBot="1" x14ac:dyDescent="0.35">
      <c r="A55" s="24">
        <v>145</v>
      </c>
      <c r="B55" s="25" t="s">
        <v>123</v>
      </c>
      <c r="C55" s="26" t="s">
        <v>124</v>
      </c>
      <c r="D55" s="27">
        <v>0</v>
      </c>
      <c r="E55" s="27">
        <v>0</v>
      </c>
      <c r="F55" s="27">
        <v>3</v>
      </c>
      <c r="G55" s="27">
        <v>0</v>
      </c>
      <c r="H55" s="27">
        <v>3</v>
      </c>
      <c r="I55" s="27">
        <v>2</v>
      </c>
      <c r="J55" s="27">
        <v>2</v>
      </c>
      <c r="K55" s="27">
        <v>2</v>
      </c>
      <c r="L55" s="27">
        <v>0</v>
      </c>
      <c r="M55" s="27">
        <v>2</v>
      </c>
      <c r="N55" s="27">
        <v>2</v>
      </c>
      <c r="O55" s="29">
        <v>48.72</v>
      </c>
    </row>
    <row r="56" spans="1:15" ht="42" thickBot="1" x14ac:dyDescent="0.35">
      <c r="A56" s="24">
        <v>146</v>
      </c>
      <c r="B56" s="25" t="s">
        <v>125</v>
      </c>
      <c r="C56" s="26" t="s">
        <v>126</v>
      </c>
      <c r="D56" s="27">
        <v>2</v>
      </c>
      <c r="E56" s="27">
        <v>1</v>
      </c>
      <c r="F56" s="27">
        <v>3</v>
      </c>
      <c r="G56" s="27">
        <v>0</v>
      </c>
      <c r="H56" s="27">
        <v>3</v>
      </c>
      <c r="I56" s="27">
        <v>2</v>
      </c>
      <c r="J56" s="27">
        <v>5</v>
      </c>
      <c r="K56" s="27">
        <v>2</v>
      </c>
      <c r="L56" s="27">
        <v>3</v>
      </c>
      <c r="M56" s="27">
        <v>4</v>
      </c>
      <c r="N56" s="27">
        <v>1</v>
      </c>
      <c r="O56" s="30"/>
    </row>
    <row r="57" spans="1:15" ht="42" thickBot="1" x14ac:dyDescent="0.35">
      <c r="A57" s="24">
        <v>147</v>
      </c>
      <c r="B57" s="25" t="s">
        <v>127</v>
      </c>
      <c r="C57" s="26" t="s">
        <v>128</v>
      </c>
      <c r="D57" s="27">
        <v>0</v>
      </c>
      <c r="E57" s="27">
        <v>0</v>
      </c>
      <c r="F57" s="27">
        <v>3</v>
      </c>
      <c r="G57" s="27">
        <v>0</v>
      </c>
      <c r="H57" s="27">
        <v>2</v>
      </c>
      <c r="I57" s="27">
        <v>2</v>
      </c>
      <c r="J57" s="27">
        <v>2</v>
      </c>
      <c r="K57" s="27">
        <v>2</v>
      </c>
      <c r="L57" s="27">
        <v>0</v>
      </c>
      <c r="M57" s="27">
        <v>0</v>
      </c>
      <c r="N57" s="27">
        <v>0</v>
      </c>
      <c r="O57" s="30"/>
    </row>
    <row r="58" spans="1:15" ht="55.8" thickBot="1" x14ac:dyDescent="0.35">
      <c r="A58" s="24">
        <v>148</v>
      </c>
      <c r="B58" s="25" t="s">
        <v>129</v>
      </c>
      <c r="C58" s="26" t="s">
        <v>130</v>
      </c>
      <c r="D58" s="27">
        <v>1</v>
      </c>
      <c r="E58" s="27">
        <v>0</v>
      </c>
      <c r="F58" s="27">
        <v>1</v>
      </c>
      <c r="G58" s="27">
        <v>0</v>
      </c>
      <c r="H58" s="27">
        <v>2</v>
      </c>
      <c r="I58" s="27">
        <v>1</v>
      </c>
      <c r="J58" s="27">
        <v>3</v>
      </c>
      <c r="K58" s="27">
        <v>2</v>
      </c>
      <c r="L58" s="27">
        <v>1</v>
      </c>
      <c r="M58" s="27">
        <v>0</v>
      </c>
      <c r="N58" s="27">
        <v>0</v>
      </c>
      <c r="O58" s="30"/>
    </row>
    <row r="59" spans="1:15" ht="42" thickBot="1" x14ac:dyDescent="0.35">
      <c r="A59" s="24">
        <v>149</v>
      </c>
      <c r="B59" s="25" t="s">
        <v>131</v>
      </c>
      <c r="C59" s="26" t="s">
        <v>132</v>
      </c>
      <c r="D59" s="27">
        <v>0</v>
      </c>
      <c r="E59" s="27">
        <v>0</v>
      </c>
      <c r="F59" s="27">
        <v>1</v>
      </c>
      <c r="G59" s="27">
        <v>0</v>
      </c>
      <c r="H59" s="27">
        <v>3</v>
      </c>
      <c r="I59" s="27">
        <v>2</v>
      </c>
      <c r="J59" s="27">
        <v>2</v>
      </c>
      <c r="K59" s="27">
        <v>2</v>
      </c>
      <c r="L59" s="27">
        <v>0</v>
      </c>
      <c r="M59" s="27">
        <v>3</v>
      </c>
      <c r="N59" s="27">
        <v>1</v>
      </c>
      <c r="O59" s="30"/>
    </row>
    <row r="60" spans="1:15" ht="55.8" thickBot="1" x14ac:dyDescent="0.35">
      <c r="A60" s="24">
        <v>150</v>
      </c>
      <c r="B60" s="25" t="s">
        <v>133</v>
      </c>
      <c r="C60" s="26" t="s">
        <v>134</v>
      </c>
      <c r="D60" s="27">
        <v>2</v>
      </c>
      <c r="E60" s="27">
        <v>1</v>
      </c>
      <c r="F60" s="27">
        <v>1</v>
      </c>
      <c r="G60" s="27">
        <v>0</v>
      </c>
      <c r="H60" s="27">
        <v>4</v>
      </c>
      <c r="I60" s="27">
        <v>2</v>
      </c>
      <c r="J60" s="27">
        <v>3</v>
      </c>
      <c r="K60" s="27">
        <v>2</v>
      </c>
      <c r="L60" s="27">
        <v>1</v>
      </c>
      <c r="M60" s="27">
        <v>2</v>
      </c>
      <c r="N60" s="27">
        <v>1</v>
      </c>
      <c r="O60" s="45"/>
    </row>
    <row r="61" spans="1:15" ht="28.2" thickBot="1" x14ac:dyDescent="0.35">
      <c r="A61" s="86"/>
      <c r="B61" s="87"/>
      <c r="C61" s="46" t="s">
        <v>4</v>
      </c>
      <c r="D61" s="11" t="s">
        <v>5</v>
      </c>
      <c r="E61" s="11" t="s">
        <v>5</v>
      </c>
      <c r="F61" s="12" t="s">
        <v>6</v>
      </c>
      <c r="G61" s="10" t="s">
        <v>6</v>
      </c>
      <c r="H61" s="11" t="s">
        <v>8</v>
      </c>
      <c r="I61" s="11" t="s">
        <v>135</v>
      </c>
      <c r="J61" s="11" t="s">
        <v>9</v>
      </c>
      <c r="K61" s="11" t="s">
        <v>9</v>
      </c>
      <c r="L61" s="11" t="s">
        <v>10</v>
      </c>
      <c r="M61" s="47" t="s">
        <v>11</v>
      </c>
      <c r="N61" s="47" t="s">
        <v>136</v>
      </c>
      <c r="O61" s="33"/>
    </row>
    <row r="62" spans="1:15" ht="55.8" thickBot="1" x14ac:dyDescent="0.35">
      <c r="A62" s="88" t="s">
        <v>137</v>
      </c>
      <c r="B62" s="89"/>
      <c r="C62" s="35" t="s">
        <v>14</v>
      </c>
      <c r="D62" s="17">
        <v>6</v>
      </c>
      <c r="E62" s="17">
        <v>2</v>
      </c>
      <c r="F62" s="17">
        <v>5</v>
      </c>
      <c r="G62" s="17">
        <v>1</v>
      </c>
      <c r="H62" s="17">
        <v>5</v>
      </c>
      <c r="I62" s="17">
        <v>3</v>
      </c>
      <c r="J62" s="17">
        <v>5</v>
      </c>
      <c r="K62" s="17">
        <v>2</v>
      </c>
      <c r="L62" s="17">
        <v>4</v>
      </c>
      <c r="M62" s="17">
        <v>5</v>
      </c>
      <c r="N62" s="17">
        <v>3</v>
      </c>
      <c r="O62" s="19">
        <v>41</v>
      </c>
    </row>
    <row r="63" spans="1:15" ht="55.8" thickBot="1" x14ac:dyDescent="0.35">
      <c r="A63" s="20">
        <v>151</v>
      </c>
      <c r="B63" s="21" t="s">
        <v>138</v>
      </c>
      <c r="C63" s="22" t="s">
        <v>139</v>
      </c>
      <c r="D63" s="18">
        <v>4</v>
      </c>
      <c r="E63" s="18">
        <v>2</v>
      </c>
      <c r="F63" s="18">
        <v>4</v>
      </c>
      <c r="G63" s="18">
        <v>1</v>
      </c>
      <c r="H63" s="18">
        <v>4</v>
      </c>
      <c r="I63" s="18">
        <v>3</v>
      </c>
      <c r="J63" s="18">
        <v>4</v>
      </c>
      <c r="K63" s="18">
        <v>2</v>
      </c>
      <c r="L63" s="18">
        <v>4</v>
      </c>
      <c r="M63" s="18">
        <v>4</v>
      </c>
      <c r="N63" s="48">
        <v>1</v>
      </c>
      <c r="O63" s="23">
        <v>80.489999999999995</v>
      </c>
    </row>
    <row r="64" spans="1:15" ht="42" thickBot="1" x14ac:dyDescent="0.35">
      <c r="A64" s="24">
        <v>152</v>
      </c>
      <c r="B64" s="25" t="s">
        <v>140</v>
      </c>
      <c r="C64" s="26" t="s">
        <v>141</v>
      </c>
      <c r="D64" s="27">
        <v>2</v>
      </c>
      <c r="E64" s="27">
        <v>1</v>
      </c>
      <c r="F64" s="27">
        <v>2</v>
      </c>
      <c r="G64" s="27">
        <v>1</v>
      </c>
      <c r="H64" s="27">
        <v>3</v>
      </c>
      <c r="I64" s="27">
        <v>3</v>
      </c>
      <c r="J64" s="27">
        <v>5</v>
      </c>
      <c r="K64" s="27">
        <v>2</v>
      </c>
      <c r="L64" s="27">
        <v>3</v>
      </c>
      <c r="M64" s="27">
        <v>3</v>
      </c>
      <c r="N64" s="49">
        <v>1</v>
      </c>
      <c r="O64" s="29">
        <v>63.41</v>
      </c>
    </row>
    <row r="65" spans="1:15" ht="42" thickBot="1" x14ac:dyDescent="0.35">
      <c r="A65" s="20">
        <v>153</v>
      </c>
      <c r="B65" s="21" t="s">
        <v>142</v>
      </c>
      <c r="C65" s="22" t="s">
        <v>143</v>
      </c>
      <c r="D65" s="18">
        <v>2</v>
      </c>
      <c r="E65" s="18">
        <v>2</v>
      </c>
      <c r="F65" s="18">
        <v>3</v>
      </c>
      <c r="G65" s="18">
        <v>0</v>
      </c>
      <c r="H65" s="18">
        <v>3</v>
      </c>
      <c r="I65" s="18">
        <v>2</v>
      </c>
      <c r="J65" s="18">
        <v>4</v>
      </c>
      <c r="K65" s="18">
        <v>2</v>
      </c>
      <c r="L65" s="18">
        <v>3</v>
      </c>
      <c r="M65" s="18">
        <v>3</v>
      </c>
      <c r="N65" s="48">
        <v>1</v>
      </c>
      <c r="O65" s="29">
        <v>60.98</v>
      </c>
    </row>
    <row r="66" spans="1:15" ht="42" thickBot="1" x14ac:dyDescent="0.35">
      <c r="A66" s="24">
        <v>154</v>
      </c>
      <c r="B66" s="25" t="s">
        <v>144</v>
      </c>
      <c r="C66" s="26" t="s">
        <v>145</v>
      </c>
      <c r="D66" s="27">
        <v>2</v>
      </c>
      <c r="E66" s="27">
        <v>1</v>
      </c>
      <c r="F66" s="27">
        <v>0</v>
      </c>
      <c r="G66" s="27">
        <v>0</v>
      </c>
      <c r="H66" s="27">
        <v>2</v>
      </c>
      <c r="I66" s="27">
        <v>2</v>
      </c>
      <c r="J66" s="27">
        <v>3</v>
      </c>
      <c r="K66" s="27">
        <v>2</v>
      </c>
      <c r="L66" s="27">
        <v>3</v>
      </c>
      <c r="M66" s="27">
        <v>1</v>
      </c>
      <c r="N66" s="49">
        <v>2</v>
      </c>
      <c r="O66" s="29">
        <v>43.9</v>
      </c>
    </row>
    <row r="67" spans="1:15" ht="42" thickBot="1" x14ac:dyDescent="0.35">
      <c r="A67" s="20">
        <v>155</v>
      </c>
      <c r="B67" s="21" t="s">
        <v>146</v>
      </c>
      <c r="C67" s="22" t="s">
        <v>147</v>
      </c>
      <c r="D67" s="18">
        <v>1</v>
      </c>
      <c r="E67" s="18">
        <v>2</v>
      </c>
      <c r="F67" s="18">
        <v>2</v>
      </c>
      <c r="G67" s="18">
        <v>0</v>
      </c>
      <c r="H67" s="18">
        <v>4</v>
      </c>
      <c r="I67" s="18">
        <v>0</v>
      </c>
      <c r="J67" s="18">
        <v>5</v>
      </c>
      <c r="K67" s="18">
        <v>2</v>
      </c>
      <c r="L67" s="18">
        <v>2</v>
      </c>
      <c r="M67" s="18">
        <v>4</v>
      </c>
      <c r="N67" s="48">
        <v>1</v>
      </c>
      <c r="O67" s="29">
        <v>56.1</v>
      </c>
    </row>
    <row r="68" spans="1:15" ht="55.8" thickBot="1" x14ac:dyDescent="0.35">
      <c r="A68" s="24">
        <v>156</v>
      </c>
      <c r="B68" s="25" t="s">
        <v>148</v>
      </c>
      <c r="C68" s="26" t="s">
        <v>149</v>
      </c>
      <c r="D68" s="27">
        <v>3</v>
      </c>
      <c r="E68" s="27">
        <v>1</v>
      </c>
      <c r="F68" s="27">
        <v>0</v>
      </c>
      <c r="G68" s="27">
        <v>0</v>
      </c>
      <c r="H68" s="27">
        <v>2</v>
      </c>
      <c r="I68" s="27">
        <v>2</v>
      </c>
      <c r="J68" s="27">
        <v>3</v>
      </c>
      <c r="K68" s="27">
        <v>2</v>
      </c>
      <c r="L68" s="27">
        <v>4</v>
      </c>
      <c r="M68" s="27">
        <v>2</v>
      </c>
      <c r="N68" s="49">
        <v>1</v>
      </c>
      <c r="O68" s="29">
        <v>48.78</v>
      </c>
    </row>
    <row r="69" spans="1:15" ht="42" thickBot="1" x14ac:dyDescent="0.35">
      <c r="A69" s="20">
        <v>157</v>
      </c>
      <c r="B69" s="21" t="s">
        <v>150</v>
      </c>
      <c r="C69" s="22" t="s">
        <v>151</v>
      </c>
      <c r="D69" s="18">
        <v>0</v>
      </c>
      <c r="E69" s="18">
        <v>2</v>
      </c>
      <c r="F69" s="18">
        <v>2</v>
      </c>
      <c r="G69" s="18">
        <v>0</v>
      </c>
      <c r="H69" s="18">
        <v>4</v>
      </c>
      <c r="I69" s="18">
        <v>2</v>
      </c>
      <c r="J69" s="18">
        <v>3</v>
      </c>
      <c r="K69" s="18">
        <v>2</v>
      </c>
      <c r="L69" s="18">
        <v>1</v>
      </c>
      <c r="M69" s="18">
        <v>0</v>
      </c>
      <c r="N69" s="48">
        <v>1</v>
      </c>
      <c r="O69" s="29">
        <v>41.46</v>
      </c>
    </row>
    <row r="70" spans="1:15" ht="42" thickBot="1" x14ac:dyDescent="0.35">
      <c r="A70" s="24">
        <v>158</v>
      </c>
      <c r="B70" s="25" t="s">
        <v>152</v>
      </c>
      <c r="C70" s="26" t="s">
        <v>153</v>
      </c>
      <c r="D70" s="27">
        <v>2</v>
      </c>
      <c r="E70" s="27">
        <v>1</v>
      </c>
      <c r="F70" s="27">
        <v>0</v>
      </c>
      <c r="G70" s="27">
        <v>1</v>
      </c>
      <c r="H70" s="27">
        <v>4</v>
      </c>
      <c r="I70" s="27">
        <v>2</v>
      </c>
      <c r="J70" s="27">
        <v>1</v>
      </c>
      <c r="K70" s="27">
        <v>0</v>
      </c>
      <c r="L70" s="27">
        <v>3</v>
      </c>
      <c r="M70" s="27">
        <v>0</v>
      </c>
      <c r="N70" s="49">
        <v>1</v>
      </c>
      <c r="O70" s="29">
        <v>36.590000000000003</v>
      </c>
    </row>
    <row r="71" spans="1:15" ht="42" thickBot="1" x14ac:dyDescent="0.35">
      <c r="A71" s="20">
        <v>159</v>
      </c>
      <c r="B71" s="21" t="s">
        <v>154</v>
      </c>
      <c r="C71" s="22" t="s">
        <v>155</v>
      </c>
      <c r="D71" s="18">
        <v>3</v>
      </c>
      <c r="E71" s="18">
        <v>2</v>
      </c>
      <c r="F71" s="18">
        <v>2</v>
      </c>
      <c r="G71" s="18">
        <v>0</v>
      </c>
      <c r="H71" s="18">
        <v>5</v>
      </c>
      <c r="I71" s="18">
        <v>2</v>
      </c>
      <c r="J71" s="18">
        <v>4</v>
      </c>
      <c r="K71" s="18">
        <v>2</v>
      </c>
      <c r="L71" s="18">
        <v>3</v>
      </c>
      <c r="M71" s="18">
        <v>3</v>
      </c>
      <c r="N71" s="48">
        <v>1</v>
      </c>
      <c r="O71" s="29">
        <v>65.849999999999994</v>
      </c>
    </row>
    <row r="72" spans="1:15" ht="42" thickBot="1" x14ac:dyDescent="0.35">
      <c r="A72" s="24">
        <v>160</v>
      </c>
      <c r="B72" s="25" t="s">
        <v>156</v>
      </c>
      <c r="C72" s="26" t="s">
        <v>157</v>
      </c>
      <c r="D72" s="27">
        <v>3</v>
      </c>
      <c r="E72" s="27">
        <v>1</v>
      </c>
      <c r="F72" s="27">
        <v>2</v>
      </c>
      <c r="G72" s="27">
        <v>1</v>
      </c>
      <c r="H72" s="27">
        <v>2</v>
      </c>
      <c r="I72" s="27">
        <v>1</v>
      </c>
      <c r="J72" s="27">
        <v>1</v>
      </c>
      <c r="K72" s="27">
        <v>2</v>
      </c>
      <c r="L72" s="27">
        <v>3</v>
      </c>
      <c r="M72" s="27">
        <v>1</v>
      </c>
      <c r="N72" s="49">
        <v>1</v>
      </c>
      <c r="O72" s="29">
        <v>43.9</v>
      </c>
    </row>
    <row r="73" spans="1:15" ht="42" thickBot="1" x14ac:dyDescent="0.35">
      <c r="A73" s="20">
        <v>161</v>
      </c>
      <c r="B73" s="21" t="s">
        <v>158</v>
      </c>
      <c r="C73" s="22" t="s">
        <v>159</v>
      </c>
      <c r="D73" s="18">
        <v>2</v>
      </c>
      <c r="E73" s="18">
        <v>2</v>
      </c>
      <c r="F73" s="18">
        <v>2</v>
      </c>
      <c r="G73" s="18">
        <v>0</v>
      </c>
      <c r="H73" s="18">
        <v>4</v>
      </c>
      <c r="I73" s="18">
        <v>2</v>
      </c>
      <c r="J73" s="18">
        <v>4</v>
      </c>
      <c r="K73" s="18">
        <v>2</v>
      </c>
      <c r="L73" s="18">
        <v>3</v>
      </c>
      <c r="M73" s="18">
        <v>2</v>
      </c>
      <c r="N73" s="48">
        <v>1</v>
      </c>
      <c r="O73" s="29">
        <v>58.54</v>
      </c>
    </row>
    <row r="74" spans="1:15" ht="42" thickBot="1" x14ac:dyDescent="0.35">
      <c r="A74" s="24">
        <v>162</v>
      </c>
      <c r="B74" s="25" t="s">
        <v>160</v>
      </c>
      <c r="C74" s="26" t="s">
        <v>161</v>
      </c>
      <c r="D74" s="27">
        <v>0</v>
      </c>
      <c r="E74" s="27">
        <v>2</v>
      </c>
      <c r="F74" s="27">
        <v>1</v>
      </c>
      <c r="G74" s="27">
        <v>0</v>
      </c>
      <c r="H74" s="27">
        <v>4</v>
      </c>
      <c r="I74" s="27">
        <v>2</v>
      </c>
      <c r="J74" s="27">
        <v>2</v>
      </c>
      <c r="K74" s="27">
        <v>2</v>
      </c>
      <c r="L74" s="27">
        <v>0</v>
      </c>
      <c r="M74" s="27">
        <v>0</v>
      </c>
      <c r="N74" s="49">
        <v>1</v>
      </c>
      <c r="O74" s="29">
        <v>34.15</v>
      </c>
    </row>
    <row r="75" spans="1:15" ht="42" thickBot="1" x14ac:dyDescent="0.35">
      <c r="A75" s="20">
        <v>163</v>
      </c>
      <c r="B75" s="21" t="s">
        <v>162</v>
      </c>
      <c r="C75" s="22" t="s">
        <v>163</v>
      </c>
      <c r="D75" s="18">
        <v>1</v>
      </c>
      <c r="E75" s="18">
        <v>1</v>
      </c>
      <c r="F75" s="18">
        <v>2</v>
      </c>
      <c r="G75" s="18">
        <v>1</v>
      </c>
      <c r="H75" s="18">
        <v>1</v>
      </c>
      <c r="I75" s="18">
        <v>3</v>
      </c>
      <c r="J75" s="18">
        <v>3</v>
      </c>
      <c r="K75" s="18">
        <v>2</v>
      </c>
      <c r="L75" s="18">
        <v>2</v>
      </c>
      <c r="M75" s="18">
        <v>1</v>
      </c>
      <c r="N75" s="48">
        <v>1</v>
      </c>
      <c r="O75" s="29">
        <v>43.9</v>
      </c>
    </row>
    <row r="76" spans="1:15" ht="42" thickBot="1" x14ac:dyDescent="0.35">
      <c r="A76" s="24">
        <v>164</v>
      </c>
      <c r="B76" s="25" t="s">
        <v>164</v>
      </c>
      <c r="C76" s="26" t="s">
        <v>165</v>
      </c>
      <c r="D76" s="27">
        <v>0</v>
      </c>
      <c r="E76" s="27">
        <v>2</v>
      </c>
      <c r="F76" s="27">
        <v>4</v>
      </c>
      <c r="G76" s="27">
        <v>0</v>
      </c>
      <c r="H76" s="27">
        <v>4</v>
      </c>
      <c r="I76" s="27">
        <v>3</v>
      </c>
      <c r="J76" s="27">
        <v>3</v>
      </c>
      <c r="K76" s="27">
        <v>2</v>
      </c>
      <c r="L76" s="27">
        <v>1</v>
      </c>
      <c r="M76" s="27">
        <v>2</v>
      </c>
      <c r="N76" s="49">
        <v>0</v>
      </c>
      <c r="O76" s="29">
        <v>51.22</v>
      </c>
    </row>
    <row r="77" spans="1:15" ht="42" thickBot="1" x14ac:dyDescent="0.35">
      <c r="A77" s="20">
        <v>165</v>
      </c>
      <c r="B77" s="21" t="s">
        <v>166</v>
      </c>
      <c r="C77" s="22" t="s">
        <v>167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48">
        <v>0</v>
      </c>
      <c r="O77" s="29">
        <v>0</v>
      </c>
    </row>
    <row r="78" spans="1:15" ht="55.8" thickBot="1" x14ac:dyDescent="0.35">
      <c r="A78" s="24">
        <v>166</v>
      </c>
      <c r="B78" s="25" t="s">
        <v>168</v>
      </c>
      <c r="C78" s="26" t="s">
        <v>169</v>
      </c>
      <c r="D78" s="27">
        <v>4</v>
      </c>
      <c r="E78" s="27">
        <v>2</v>
      </c>
      <c r="F78" s="27">
        <v>5</v>
      </c>
      <c r="G78" s="27">
        <v>1</v>
      </c>
      <c r="H78" s="27">
        <v>5</v>
      </c>
      <c r="I78" s="27">
        <v>3</v>
      </c>
      <c r="J78" s="27">
        <v>5</v>
      </c>
      <c r="K78" s="27">
        <v>2</v>
      </c>
      <c r="L78" s="27">
        <v>3</v>
      </c>
      <c r="M78" s="27">
        <v>3</v>
      </c>
      <c r="N78" s="49">
        <v>1</v>
      </c>
      <c r="O78" s="23">
        <v>82.93</v>
      </c>
    </row>
    <row r="79" spans="1:15" ht="15" thickBot="1" x14ac:dyDescent="0.35">
      <c r="A79" s="50"/>
      <c r="B79" s="51"/>
      <c r="C79" s="52" t="s">
        <v>84</v>
      </c>
      <c r="D79" s="74"/>
      <c r="E79" s="75"/>
      <c r="F79" s="75"/>
      <c r="G79" s="75"/>
      <c r="H79" s="75"/>
      <c r="I79" s="75"/>
      <c r="J79" s="76">
        <v>46054</v>
      </c>
      <c r="K79" s="76"/>
      <c r="L79" s="53"/>
      <c r="M79" s="53"/>
      <c r="N79" s="77"/>
      <c r="O79" s="78"/>
    </row>
    <row r="80" spans="1:15" x14ac:dyDescent="0.3">
      <c r="A80" s="40" t="s">
        <v>85</v>
      </c>
      <c r="B80" s="83" t="s">
        <v>87</v>
      </c>
      <c r="C80" s="84" t="s">
        <v>88</v>
      </c>
      <c r="D80" s="62" t="s">
        <v>89</v>
      </c>
      <c r="E80" s="63"/>
      <c r="F80" s="62" t="s">
        <v>90</v>
      </c>
      <c r="G80" s="63"/>
      <c r="H80" s="62" t="s">
        <v>91</v>
      </c>
      <c r="I80" s="63"/>
      <c r="J80" s="66" t="s">
        <v>92</v>
      </c>
      <c r="K80" s="67"/>
      <c r="L80" s="70" t="s">
        <v>93</v>
      </c>
      <c r="M80" s="72" t="s">
        <v>94</v>
      </c>
      <c r="N80" s="58" t="s">
        <v>95</v>
      </c>
      <c r="O80" s="60" t="s">
        <v>96</v>
      </c>
    </row>
    <row r="81" spans="1:15" ht="15" thickBot="1" x14ac:dyDescent="0.35">
      <c r="A81" s="41" t="s">
        <v>86</v>
      </c>
      <c r="B81" s="83"/>
      <c r="C81" s="85"/>
      <c r="D81" s="64"/>
      <c r="E81" s="65"/>
      <c r="F81" s="64"/>
      <c r="G81" s="65"/>
      <c r="H81" s="64"/>
      <c r="I81" s="65"/>
      <c r="J81" s="68"/>
      <c r="K81" s="69"/>
      <c r="L81" s="71"/>
      <c r="M81" s="73"/>
      <c r="N81" s="59"/>
      <c r="O81" s="61"/>
    </row>
    <row r="82" spans="1:15" ht="27" thickBot="1" x14ac:dyDescent="0.35">
      <c r="A82" s="2"/>
      <c r="B82" s="3"/>
      <c r="C82" s="17" t="s">
        <v>0</v>
      </c>
      <c r="D82" s="42" t="s">
        <v>1</v>
      </c>
      <c r="E82" s="43" t="s">
        <v>2</v>
      </c>
      <c r="F82" s="42" t="s">
        <v>1</v>
      </c>
      <c r="G82" s="17" t="s">
        <v>2</v>
      </c>
      <c r="H82" s="42" t="s">
        <v>1</v>
      </c>
      <c r="I82" s="43" t="s">
        <v>2</v>
      </c>
      <c r="J82" s="42" t="s">
        <v>1</v>
      </c>
      <c r="K82" s="43" t="s">
        <v>3</v>
      </c>
      <c r="L82" s="43" t="s">
        <v>1</v>
      </c>
      <c r="M82" s="43" t="s">
        <v>1</v>
      </c>
      <c r="N82" s="17" t="s">
        <v>2</v>
      </c>
      <c r="O82" s="44"/>
    </row>
    <row r="83" spans="1:15" ht="42" thickBot="1" x14ac:dyDescent="0.35">
      <c r="A83" s="20">
        <v>167</v>
      </c>
      <c r="B83" s="21" t="s">
        <v>170</v>
      </c>
      <c r="C83" s="22" t="s">
        <v>171</v>
      </c>
      <c r="D83" s="18">
        <v>1</v>
      </c>
      <c r="E83" s="18">
        <v>2</v>
      </c>
      <c r="F83" s="18">
        <v>1</v>
      </c>
      <c r="G83" s="18">
        <v>0</v>
      </c>
      <c r="H83" s="18">
        <v>5</v>
      </c>
      <c r="I83" s="18">
        <v>2</v>
      </c>
      <c r="J83" s="18">
        <v>3</v>
      </c>
      <c r="K83" s="18">
        <v>2</v>
      </c>
      <c r="L83" s="18">
        <v>3</v>
      </c>
      <c r="M83" s="18">
        <v>3</v>
      </c>
      <c r="N83" s="48">
        <v>1</v>
      </c>
      <c r="O83" s="29">
        <v>56.1</v>
      </c>
    </row>
    <row r="84" spans="1:15" ht="55.8" thickBot="1" x14ac:dyDescent="0.35">
      <c r="A84" s="24">
        <v>168</v>
      </c>
      <c r="B84" s="25" t="s">
        <v>172</v>
      </c>
      <c r="C84" s="26" t="s">
        <v>173</v>
      </c>
      <c r="D84" s="27">
        <v>0</v>
      </c>
      <c r="E84" s="27">
        <v>1</v>
      </c>
      <c r="F84" s="27">
        <v>2</v>
      </c>
      <c r="G84" s="27">
        <v>0</v>
      </c>
      <c r="H84" s="27">
        <v>1</v>
      </c>
      <c r="I84" s="27">
        <v>0</v>
      </c>
      <c r="J84" s="27">
        <v>2</v>
      </c>
      <c r="K84" s="27">
        <v>2</v>
      </c>
      <c r="L84" s="27">
        <v>1</v>
      </c>
      <c r="M84" s="27">
        <v>2</v>
      </c>
      <c r="N84" s="49">
        <v>1</v>
      </c>
      <c r="O84" s="29">
        <v>29.27</v>
      </c>
    </row>
    <row r="85" spans="1:15" ht="42" thickBot="1" x14ac:dyDescent="0.35">
      <c r="A85" s="20">
        <v>169</v>
      </c>
      <c r="B85" s="21" t="s">
        <v>174</v>
      </c>
      <c r="C85" s="22" t="s">
        <v>175</v>
      </c>
      <c r="D85" s="18">
        <v>2</v>
      </c>
      <c r="E85" s="18">
        <v>2</v>
      </c>
      <c r="F85" s="18">
        <v>2</v>
      </c>
      <c r="G85" s="18">
        <v>0</v>
      </c>
      <c r="H85" s="18">
        <v>4</v>
      </c>
      <c r="I85" s="18">
        <v>2</v>
      </c>
      <c r="J85" s="18">
        <v>3</v>
      </c>
      <c r="K85" s="18">
        <v>2</v>
      </c>
      <c r="L85" s="18">
        <v>3</v>
      </c>
      <c r="M85" s="18">
        <v>2</v>
      </c>
      <c r="N85" s="48">
        <v>1</v>
      </c>
      <c r="O85" s="29">
        <v>56.1</v>
      </c>
    </row>
    <row r="86" spans="1:15" ht="42" thickBot="1" x14ac:dyDescent="0.35">
      <c r="A86" s="24">
        <v>170</v>
      </c>
      <c r="B86" s="25" t="s">
        <v>176</v>
      </c>
      <c r="C86" s="26" t="s">
        <v>177</v>
      </c>
      <c r="D86" s="27">
        <v>4</v>
      </c>
      <c r="E86" s="27">
        <v>2</v>
      </c>
      <c r="F86" s="27">
        <v>4</v>
      </c>
      <c r="G86" s="27">
        <v>0</v>
      </c>
      <c r="H86" s="27">
        <v>5</v>
      </c>
      <c r="I86" s="27">
        <v>3</v>
      </c>
      <c r="J86" s="27">
        <v>4</v>
      </c>
      <c r="K86" s="27">
        <v>2</v>
      </c>
      <c r="L86" s="27">
        <v>3</v>
      </c>
      <c r="M86" s="27">
        <v>4</v>
      </c>
      <c r="N86" s="49">
        <v>1</v>
      </c>
      <c r="O86" s="54">
        <v>78.05</v>
      </c>
    </row>
    <row r="87" spans="1:15" ht="42" thickBot="1" x14ac:dyDescent="0.35">
      <c r="A87" s="20">
        <v>171</v>
      </c>
      <c r="B87" s="21" t="s">
        <v>178</v>
      </c>
      <c r="C87" s="22" t="s">
        <v>179</v>
      </c>
      <c r="D87" s="18">
        <v>2</v>
      </c>
      <c r="E87" s="18">
        <v>2</v>
      </c>
      <c r="F87" s="18">
        <v>1</v>
      </c>
      <c r="G87" s="18">
        <v>1</v>
      </c>
      <c r="H87" s="18">
        <v>5</v>
      </c>
      <c r="I87" s="18">
        <v>2</v>
      </c>
      <c r="J87" s="18">
        <v>3</v>
      </c>
      <c r="K87" s="18">
        <v>2</v>
      </c>
      <c r="L87" s="18">
        <v>3</v>
      </c>
      <c r="M87" s="18">
        <v>3</v>
      </c>
      <c r="N87" s="48">
        <v>1</v>
      </c>
      <c r="O87" s="55">
        <v>60.98</v>
      </c>
    </row>
    <row r="88" spans="1:15" ht="69.599999999999994" thickBot="1" x14ac:dyDescent="0.35">
      <c r="A88" s="24">
        <v>172</v>
      </c>
      <c r="B88" s="25" t="s">
        <v>180</v>
      </c>
      <c r="C88" s="26" t="s">
        <v>181</v>
      </c>
      <c r="D88" s="27">
        <v>1</v>
      </c>
      <c r="E88" s="27">
        <v>2</v>
      </c>
      <c r="F88" s="27">
        <v>2</v>
      </c>
      <c r="G88" s="27">
        <v>1</v>
      </c>
      <c r="H88" s="27">
        <v>4</v>
      </c>
      <c r="I88" s="27">
        <v>2</v>
      </c>
      <c r="J88" s="27">
        <v>4</v>
      </c>
      <c r="K88" s="27">
        <v>2</v>
      </c>
      <c r="L88" s="27">
        <v>2</v>
      </c>
      <c r="M88" s="27">
        <v>4</v>
      </c>
      <c r="N88" s="49">
        <v>1</v>
      </c>
      <c r="O88" s="55">
        <v>60.98</v>
      </c>
    </row>
    <row r="89" spans="1:15" ht="42" thickBot="1" x14ac:dyDescent="0.35">
      <c r="A89" s="20">
        <v>173</v>
      </c>
      <c r="B89" s="21" t="s">
        <v>182</v>
      </c>
      <c r="C89" s="22" t="s">
        <v>183</v>
      </c>
      <c r="D89" s="18">
        <v>2</v>
      </c>
      <c r="E89" s="18">
        <v>2</v>
      </c>
      <c r="F89" s="18">
        <v>3</v>
      </c>
      <c r="G89" s="18">
        <v>0</v>
      </c>
      <c r="H89" s="18">
        <v>4</v>
      </c>
      <c r="I89" s="18">
        <v>3</v>
      </c>
      <c r="J89" s="18">
        <v>3</v>
      </c>
      <c r="K89" s="18">
        <v>2</v>
      </c>
      <c r="L89" s="18">
        <v>3</v>
      </c>
      <c r="M89" s="18">
        <v>3</v>
      </c>
      <c r="N89" s="48">
        <v>1</v>
      </c>
      <c r="O89" s="55">
        <v>63.41</v>
      </c>
    </row>
    <row r="90" spans="1:15" ht="42" thickBot="1" x14ac:dyDescent="0.35">
      <c r="A90" s="24">
        <v>174</v>
      </c>
      <c r="B90" s="25" t="s">
        <v>184</v>
      </c>
      <c r="C90" s="26" t="s">
        <v>185</v>
      </c>
      <c r="D90" s="27">
        <v>2</v>
      </c>
      <c r="E90" s="27">
        <v>2</v>
      </c>
      <c r="F90" s="27">
        <v>4</v>
      </c>
      <c r="G90" s="27">
        <v>1</v>
      </c>
      <c r="H90" s="27">
        <v>5</v>
      </c>
      <c r="I90" s="27">
        <v>3</v>
      </c>
      <c r="J90" s="27">
        <v>4</v>
      </c>
      <c r="K90" s="27">
        <v>2</v>
      </c>
      <c r="L90" s="27">
        <v>3</v>
      </c>
      <c r="M90" s="27">
        <v>2</v>
      </c>
      <c r="N90" s="49">
        <v>1</v>
      </c>
      <c r="O90" s="55">
        <v>70.73</v>
      </c>
    </row>
    <row r="91" spans="1:15" ht="42" thickBot="1" x14ac:dyDescent="0.35">
      <c r="A91" s="20">
        <v>175</v>
      </c>
      <c r="B91" s="21" t="s">
        <v>186</v>
      </c>
      <c r="C91" s="22" t="s">
        <v>187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1</v>
      </c>
      <c r="M91" s="18">
        <v>0</v>
      </c>
      <c r="N91" s="48">
        <v>1</v>
      </c>
      <c r="O91" s="55">
        <v>4.88</v>
      </c>
    </row>
    <row r="92" spans="1:15" ht="28.2" thickBot="1" x14ac:dyDescent="0.35">
      <c r="A92" s="56" t="s">
        <v>188</v>
      </c>
      <c r="B92" s="26" t="s">
        <v>189</v>
      </c>
      <c r="C92" s="26" t="s">
        <v>190</v>
      </c>
      <c r="D92" s="27">
        <v>1</v>
      </c>
      <c r="E92" s="27">
        <v>0</v>
      </c>
      <c r="F92" s="27">
        <v>2</v>
      </c>
      <c r="G92" s="27">
        <v>0</v>
      </c>
      <c r="H92" s="27">
        <v>2</v>
      </c>
      <c r="I92" s="27">
        <v>0</v>
      </c>
      <c r="J92" s="27">
        <v>0</v>
      </c>
      <c r="K92" s="27">
        <v>0</v>
      </c>
      <c r="L92" s="27">
        <v>2</v>
      </c>
      <c r="M92" s="27">
        <v>0</v>
      </c>
      <c r="N92" s="49">
        <v>0</v>
      </c>
      <c r="O92" s="55">
        <v>17.07</v>
      </c>
    </row>
    <row r="93" spans="1:15" ht="42" thickBot="1" x14ac:dyDescent="0.35">
      <c r="A93" s="20">
        <v>177</v>
      </c>
      <c r="B93" s="21" t="s">
        <v>191</v>
      </c>
      <c r="C93" s="22" t="s">
        <v>192</v>
      </c>
      <c r="D93" s="18">
        <v>2</v>
      </c>
      <c r="E93" s="18">
        <v>1</v>
      </c>
      <c r="F93" s="18">
        <v>4</v>
      </c>
      <c r="G93" s="18">
        <v>0</v>
      </c>
      <c r="H93" s="18">
        <v>4</v>
      </c>
      <c r="I93" s="18">
        <v>0</v>
      </c>
      <c r="J93" s="18">
        <v>3</v>
      </c>
      <c r="K93" s="18">
        <v>0</v>
      </c>
      <c r="L93" s="18">
        <v>3</v>
      </c>
      <c r="M93" s="18">
        <v>3</v>
      </c>
      <c r="N93" s="48">
        <v>1</v>
      </c>
      <c r="O93" s="55">
        <v>51.22</v>
      </c>
    </row>
    <row r="94" spans="1:15" ht="42" thickBot="1" x14ac:dyDescent="0.35">
      <c r="A94" s="56">
        <v>178</v>
      </c>
      <c r="B94" s="26" t="s">
        <v>193</v>
      </c>
      <c r="C94" s="26" t="s">
        <v>194</v>
      </c>
      <c r="D94" s="27">
        <v>4</v>
      </c>
      <c r="E94" s="27">
        <v>2</v>
      </c>
      <c r="F94" s="27">
        <v>3</v>
      </c>
      <c r="G94" s="27">
        <v>1</v>
      </c>
      <c r="H94" s="27">
        <v>5</v>
      </c>
      <c r="I94" s="27">
        <v>3</v>
      </c>
      <c r="J94" s="27">
        <v>3</v>
      </c>
      <c r="K94" s="27">
        <v>2</v>
      </c>
      <c r="L94" s="27">
        <v>3</v>
      </c>
      <c r="M94" s="27">
        <v>3</v>
      </c>
      <c r="N94" s="49">
        <v>1</v>
      </c>
      <c r="O94" s="57">
        <v>73.17</v>
      </c>
    </row>
    <row r="95" spans="1:15" x14ac:dyDescent="0.3">
      <c r="B95" s="1" t="s">
        <v>195</v>
      </c>
    </row>
  </sheetData>
  <mergeCells count="28">
    <mergeCell ref="D39:O39"/>
    <mergeCell ref="B40:B41"/>
    <mergeCell ref="C40:C41"/>
    <mergeCell ref="D40:E41"/>
    <mergeCell ref="F40:G41"/>
    <mergeCell ref="H40:I41"/>
    <mergeCell ref="J40:K41"/>
    <mergeCell ref="L40:L41"/>
    <mergeCell ref="M40:M41"/>
    <mergeCell ref="N40:N41"/>
    <mergeCell ref="O40:O41"/>
    <mergeCell ref="A61:B61"/>
    <mergeCell ref="A62:B62"/>
    <mergeCell ref="D79:E79"/>
    <mergeCell ref="F79:G79"/>
    <mergeCell ref="H79:I79"/>
    <mergeCell ref="J79:K79"/>
    <mergeCell ref="N79:O79"/>
    <mergeCell ref="L80:L81"/>
    <mergeCell ref="M80:M81"/>
    <mergeCell ref="N80:N81"/>
    <mergeCell ref="O80:O81"/>
    <mergeCell ref="J80:K81"/>
    <mergeCell ref="B80:B81"/>
    <mergeCell ref="C80:C81"/>
    <mergeCell ref="D80:E81"/>
    <mergeCell ref="F80:G81"/>
    <mergeCell ref="H80:I8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0BCE0-BB09-4676-B713-5F4409D69B3D}">
  <dimension ref="A1:AD99"/>
  <sheetViews>
    <sheetView tabSelected="1" topLeftCell="A65" zoomScale="116" zoomScaleNormal="105" workbookViewId="0">
      <selection activeCell="A102" sqref="A102:XFD102"/>
    </sheetView>
  </sheetViews>
  <sheetFormatPr defaultRowHeight="14.4" x14ac:dyDescent="0.3"/>
  <cols>
    <col min="2" max="2" width="19.109375" customWidth="1"/>
    <col min="3" max="3" width="28.6640625" customWidth="1"/>
    <col min="15" max="15" width="11.44140625" bestFit="1" customWidth="1"/>
    <col min="30" max="30" width="15.21875" bestFit="1" customWidth="1"/>
  </cols>
  <sheetData>
    <row r="1" spans="1:30" ht="15" thickBot="1" x14ac:dyDescent="0.35">
      <c r="A1" s="36"/>
    </row>
    <row r="2" spans="1:30" ht="15" thickBot="1" x14ac:dyDescent="0.35">
      <c r="A2" s="37"/>
      <c r="B2" s="38"/>
      <c r="C2" s="39" t="s">
        <v>84</v>
      </c>
      <c r="D2" s="79">
        <v>46054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2"/>
      <c r="S2" s="79">
        <v>46082</v>
      </c>
      <c r="T2" s="80"/>
      <c r="U2" s="80"/>
      <c r="V2" s="80"/>
      <c r="W2" s="80"/>
      <c r="X2" s="80"/>
      <c r="Y2" s="80"/>
      <c r="Z2" s="80"/>
      <c r="AA2" s="80"/>
      <c r="AB2" s="80"/>
      <c r="AC2" s="80"/>
      <c r="AD2" s="82"/>
    </row>
    <row r="3" spans="1:30" x14ac:dyDescent="0.3">
      <c r="A3" s="40" t="s">
        <v>85</v>
      </c>
      <c r="B3" s="83" t="s">
        <v>87</v>
      </c>
      <c r="C3" s="84" t="s">
        <v>88</v>
      </c>
      <c r="D3" s="62" t="s">
        <v>89</v>
      </c>
      <c r="E3" s="63"/>
      <c r="F3" s="62" t="s">
        <v>90</v>
      </c>
      <c r="G3" s="63"/>
      <c r="H3" s="62" t="s">
        <v>91</v>
      </c>
      <c r="I3" s="63"/>
      <c r="J3" s="66" t="s">
        <v>92</v>
      </c>
      <c r="K3" s="67"/>
      <c r="L3" s="70" t="s">
        <v>93</v>
      </c>
      <c r="M3" s="72" t="s">
        <v>94</v>
      </c>
      <c r="N3" s="58" t="s">
        <v>95</v>
      </c>
      <c r="O3" s="60" t="s">
        <v>96</v>
      </c>
      <c r="S3" s="62" t="s">
        <v>89</v>
      </c>
      <c r="T3" s="63"/>
      <c r="U3" s="62" t="s">
        <v>90</v>
      </c>
      <c r="V3" s="63"/>
      <c r="W3" s="62" t="s">
        <v>91</v>
      </c>
      <c r="X3" s="63"/>
      <c r="Y3" s="66" t="s">
        <v>92</v>
      </c>
      <c r="Z3" s="67"/>
      <c r="AA3" s="70" t="s">
        <v>93</v>
      </c>
      <c r="AB3" s="72" t="s">
        <v>94</v>
      </c>
      <c r="AC3" s="58" t="s">
        <v>95</v>
      </c>
      <c r="AD3" s="60" t="s">
        <v>96</v>
      </c>
    </row>
    <row r="4" spans="1:30" ht="15" thickBot="1" x14ac:dyDescent="0.35">
      <c r="A4" s="41" t="s">
        <v>86</v>
      </c>
      <c r="B4" s="83"/>
      <c r="C4" s="85"/>
      <c r="D4" s="64"/>
      <c r="E4" s="65"/>
      <c r="F4" s="64"/>
      <c r="G4" s="65"/>
      <c r="H4" s="64"/>
      <c r="I4" s="65"/>
      <c r="J4" s="68"/>
      <c r="K4" s="69"/>
      <c r="L4" s="71"/>
      <c r="M4" s="73"/>
      <c r="N4" s="59"/>
      <c r="O4" s="61"/>
      <c r="S4" s="64"/>
      <c r="T4" s="65"/>
      <c r="U4" s="64"/>
      <c r="V4" s="65"/>
      <c r="W4" s="64"/>
      <c r="X4" s="65"/>
      <c r="Y4" s="68"/>
      <c r="Z4" s="69"/>
      <c r="AA4" s="71"/>
      <c r="AB4" s="73"/>
      <c r="AC4" s="59"/>
      <c r="AD4" s="61"/>
    </row>
    <row r="5" spans="1:30" ht="15" thickBot="1" x14ac:dyDescent="0.35">
      <c r="A5" s="2"/>
      <c r="B5" s="3"/>
      <c r="C5" s="17" t="s">
        <v>0</v>
      </c>
      <c r="D5" s="42" t="s">
        <v>1</v>
      </c>
      <c r="E5" s="42" t="s">
        <v>2</v>
      </c>
      <c r="F5" s="42" t="s">
        <v>1</v>
      </c>
      <c r="G5" s="17" t="s">
        <v>2</v>
      </c>
      <c r="H5" s="42" t="s">
        <v>1</v>
      </c>
      <c r="I5" s="43" t="s">
        <v>2</v>
      </c>
      <c r="J5" s="42" t="s">
        <v>1</v>
      </c>
      <c r="K5" s="43" t="s">
        <v>3</v>
      </c>
      <c r="L5" s="43" t="s">
        <v>1</v>
      </c>
      <c r="M5" s="43" t="s">
        <v>1</v>
      </c>
      <c r="N5" s="17" t="s">
        <v>2</v>
      </c>
      <c r="O5" s="44"/>
      <c r="S5" s="42" t="s">
        <v>1</v>
      </c>
      <c r="T5" s="42" t="s">
        <v>2</v>
      </c>
      <c r="U5" s="42" t="s">
        <v>1</v>
      </c>
      <c r="V5" s="17" t="s">
        <v>2</v>
      </c>
      <c r="W5" s="42" t="s">
        <v>1</v>
      </c>
      <c r="X5" s="43" t="s">
        <v>2</v>
      </c>
      <c r="Y5" s="42" t="s">
        <v>1</v>
      </c>
      <c r="Z5" s="43" t="s">
        <v>3</v>
      </c>
      <c r="AA5" s="43" t="s">
        <v>1</v>
      </c>
      <c r="AB5" s="43" t="s">
        <v>1</v>
      </c>
      <c r="AC5" s="17" t="s">
        <v>2</v>
      </c>
      <c r="AD5" s="44"/>
    </row>
    <row r="6" spans="1:30" ht="15" thickBot="1" x14ac:dyDescent="0.35">
      <c r="A6" s="8"/>
      <c r="B6" s="9"/>
      <c r="C6" s="10" t="s">
        <v>4</v>
      </c>
      <c r="D6" s="11" t="s">
        <v>5</v>
      </c>
      <c r="E6" s="11" t="s">
        <v>5</v>
      </c>
      <c r="F6" s="12" t="s">
        <v>6</v>
      </c>
      <c r="G6" s="12" t="s">
        <v>7</v>
      </c>
      <c r="H6" s="11" t="s">
        <v>8</v>
      </c>
      <c r="I6" s="11" t="s">
        <v>8</v>
      </c>
      <c r="J6" s="11" t="s">
        <v>9</v>
      </c>
      <c r="K6" s="11" t="s">
        <v>9</v>
      </c>
      <c r="L6" s="11" t="s">
        <v>10</v>
      </c>
      <c r="M6" s="11" t="s">
        <v>11</v>
      </c>
      <c r="N6" s="13" t="s">
        <v>12</v>
      </c>
      <c r="O6" s="14"/>
      <c r="S6" s="11" t="s">
        <v>5</v>
      </c>
      <c r="T6" s="11" t="s">
        <v>5</v>
      </c>
      <c r="U6" s="12" t="s">
        <v>6</v>
      </c>
      <c r="V6" s="12" t="s">
        <v>7</v>
      </c>
      <c r="W6" s="11" t="s">
        <v>8</v>
      </c>
      <c r="X6" s="11" t="s">
        <v>8</v>
      </c>
      <c r="Y6" s="11" t="s">
        <v>9</v>
      </c>
      <c r="Z6" s="11" t="s">
        <v>9</v>
      </c>
      <c r="AA6" s="11" t="s">
        <v>10</v>
      </c>
      <c r="AB6" s="11" t="s">
        <v>11</v>
      </c>
      <c r="AC6" s="13" t="s">
        <v>12</v>
      </c>
      <c r="AD6" s="14"/>
    </row>
    <row r="7" spans="1:30" ht="25.8" thickBot="1" x14ac:dyDescent="0.35">
      <c r="A7" s="15"/>
      <c r="B7" s="16" t="s">
        <v>13</v>
      </c>
      <c r="C7" s="17" t="s">
        <v>14</v>
      </c>
      <c r="D7" s="18">
        <v>7</v>
      </c>
      <c r="E7" s="18">
        <v>1</v>
      </c>
      <c r="F7" s="18">
        <v>5</v>
      </c>
      <c r="G7" s="18">
        <v>3</v>
      </c>
      <c r="H7" s="18">
        <v>5</v>
      </c>
      <c r="I7" s="18">
        <v>3</v>
      </c>
      <c r="J7" s="18">
        <v>5</v>
      </c>
      <c r="K7" s="18">
        <v>2</v>
      </c>
      <c r="L7" s="18">
        <v>4</v>
      </c>
      <c r="M7" s="18">
        <v>5</v>
      </c>
      <c r="N7" s="18">
        <v>2</v>
      </c>
      <c r="O7" s="19">
        <v>42</v>
      </c>
      <c r="S7" s="18">
        <v>6</v>
      </c>
      <c r="T7" s="18">
        <v>1</v>
      </c>
      <c r="U7" s="18">
        <v>5</v>
      </c>
      <c r="V7" s="18">
        <v>3</v>
      </c>
      <c r="W7" s="18">
        <v>5</v>
      </c>
      <c r="X7" s="18">
        <v>3</v>
      </c>
      <c r="Y7" s="18">
        <v>5</v>
      </c>
      <c r="Z7" s="18">
        <v>2</v>
      </c>
      <c r="AA7" s="18">
        <v>7</v>
      </c>
      <c r="AB7" s="18">
        <v>6</v>
      </c>
      <c r="AC7" s="18">
        <v>2</v>
      </c>
      <c r="AD7" s="19">
        <v>45</v>
      </c>
    </row>
    <row r="8" spans="1:30" ht="15" thickBot="1" x14ac:dyDescent="0.35">
      <c r="A8" s="20">
        <v>101</v>
      </c>
      <c r="B8" s="21" t="s">
        <v>15</v>
      </c>
      <c r="C8" s="22" t="s">
        <v>16</v>
      </c>
      <c r="D8" s="18">
        <v>5</v>
      </c>
      <c r="E8" s="18">
        <v>1</v>
      </c>
      <c r="F8" s="18">
        <v>4</v>
      </c>
      <c r="G8" s="18">
        <v>3</v>
      </c>
      <c r="H8" s="18">
        <v>5</v>
      </c>
      <c r="I8" s="18">
        <v>2</v>
      </c>
      <c r="J8" s="18">
        <v>4</v>
      </c>
      <c r="K8" s="18">
        <v>2</v>
      </c>
      <c r="L8" s="18">
        <v>4</v>
      </c>
      <c r="M8" s="18">
        <v>5</v>
      </c>
      <c r="N8" s="18">
        <v>2</v>
      </c>
      <c r="O8" s="90" cm="1">
        <f t="array" ref="O8">SUM((D8:N8)/$O$7*100)</f>
        <v>88.095238095238074</v>
      </c>
      <c r="S8" s="18">
        <v>5</v>
      </c>
      <c r="T8" s="18">
        <v>1</v>
      </c>
      <c r="U8" s="18">
        <v>4</v>
      </c>
      <c r="V8" s="18">
        <v>3</v>
      </c>
      <c r="W8" s="18">
        <v>5</v>
      </c>
      <c r="X8" s="18">
        <v>2</v>
      </c>
      <c r="Y8" s="18">
        <v>4</v>
      </c>
      <c r="Z8" s="18">
        <v>2</v>
      </c>
      <c r="AA8" s="18">
        <v>4</v>
      </c>
      <c r="AB8" s="18">
        <v>5</v>
      </c>
      <c r="AC8" s="18">
        <v>2</v>
      </c>
      <c r="AD8" s="90">
        <f>(SUM(S8:AC8)/$AD$7*100)</f>
        <v>82.222222222222214</v>
      </c>
    </row>
    <row r="9" spans="1:30" ht="15" thickBot="1" x14ac:dyDescent="0.35">
      <c r="A9" s="24">
        <v>102</v>
      </c>
      <c r="B9" s="25" t="s">
        <v>17</v>
      </c>
      <c r="C9" s="26" t="s">
        <v>18</v>
      </c>
      <c r="D9" s="27">
        <v>3</v>
      </c>
      <c r="E9" s="27">
        <v>1</v>
      </c>
      <c r="F9" s="27">
        <v>2</v>
      </c>
      <c r="G9" s="27">
        <v>2</v>
      </c>
      <c r="H9" s="27">
        <v>3</v>
      </c>
      <c r="I9" s="27">
        <v>2</v>
      </c>
      <c r="J9" s="27">
        <v>1</v>
      </c>
      <c r="K9" s="27">
        <v>0</v>
      </c>
      <c r="L9" s="27">
        <v>3</v>
      </c>
      <c r="M9" s="27">
        <v>2</v>
      </c>
      <c r="N9" s="27">
        <v>1</v>
      </c>
      <c r="O9" s="90" cm="1">
        <f t="array" ref="O9">SUM((D9:N9)/$O$7*100)</f>
        <v>47.61904761904762</v>
      </c>
      <c r="S9" s="27">
        <v>3</v>
      </c>
      <c r="T9" s="27">
        <v>1</v>
      </c>
      <c r="U9" s="27">
        <v>2</v>
      </c>
      <c r="V9" s="27">
        <v>2</v>
      </c>
      <c r="W9" s="27">
        <v>3</v>
      </c>
      <c r="X9" s="27">
        <v>2</v>
      </c>
      <c r="Y9" s="27">
        <v>1</v>
      </c>
      <c r="Z9" s="27">
        <v>0</v>
      </c>
      <c r="AA9" s="27">
        <v>7</v>
      </c>
      <c r="AB9" s="27">
        <v>2</v>
      </c>
      <c r="AC9" s="27">
        <v>1</v>
      </c>
      <c r="AD9" s="90">
        <f t="shared" ref="AD9:AD32" si="0">(SUM(S9:AC9)/$AD$7*100)</f>
        <v>53.333333333333336</v>
      </c>
    </row>
    <row r="10" spans="1:30" ht="15" thickBot="1" x14ac:dyDescent="0.35">
      <c r="A10" s="24">
        <v>103</v>
      </c>
      <c r="B10" s="25" t="s">
        <v>20</v>
      </c>
      <c r="C10" s="26" t="s">
        <v>21</v>
      </c>
      <c r="D10" s="27">
        <v>3</v>
      </c>
      <c r="E10" s="27">
        <v>0</v>
      </c>
      <c r="F10" s="27">
        <v>3</v>
      </c>
      <c r="G10" s="27">
        <v>2</v>
      </c>
      <c r="H10" s="27">
        <v>2</v>
      </c>
      <c r="I10" s="27">
        <v>2</v>
      </c>
      <c r="J10" s="27">
        <v>4</v>
      </c>
      <c r="K10" s="27">
        <v>2</v>
      </c>
      <c r="L10" s="27">
        <v>2</v>
      </c>
      <c r="M10" s="27">
        <v>3</v>
      </c>
      <c r="N10" s="27">
        <v>1</v>
      </c>
      <c r="O10" s="90" cm="1">
        <f t="array" ref="O10">SUM((D10:N10)/$O$7*100)</f>
        <v>57.142857142857139</v>
      </c>
      <c r="S10" s="27">
        <v>3</v>
      </c>
      <c r="T10" s="27">
        <v>0</v>
      </c>
      <c r="U10" s="27">
        <v>3</v>
      </c>
      <c r="V10" s="27">
        <v>2</v>
      </c>
      <c r="W10" s="27">
        <v>2</v>
      </c>
      <c r="X10" s="27">
        <v>2</v>
      </c>
      <c r="Y10" s="27">
        <v>4</v>
      </c>
      <c r="Z10" s="27">
        <v>2</v>
      </c>
      <c r="AA10" s="27">
        <v>2</v>
      </c>
      <c r="AB10" s="27">
        <v>3</v>
      </c>
      <c r="AC10" s="27">
        <v>1</v>
      </c>
      <c r="AD10" s="90">
        <f t="shared" si="0"/>
        <v>53.333333333333336</v>
      </c>
    </row>
    <row r="11" spans="1:30" ht="15" thickBot="1" x14ac:dyDescent="0.35">
      <c r="A11" s="24">
        <v>104</v>
      </c>
      <c r="B11" s="25" t="s">
        <v>22</v>
      </c>
      <c r="C11" s="26" t="s">
        <v>23</v>
      </c>
      <c r="D11" s="27">
        <v>1</v>
      </c>
      <c r="E11" s="27">
        <v>1</v>
      </c>
      <c r="F11" s="27">
        <v>3</v>
      </c>
      <c r="G11" s="27">
        <v>2</v>
      </c>
      <c r="H11" s="27">
        <v>2</v>
      </c>
      <c r="I11" s="27">
        <v>1</v>
      </c>
      <c r="J11" s="27">
        <v>3</v>
      </c>
      <c r="K11" s="27">
        <v>2</v>
      </c>
      <c r="L11" s="27">
        <v>2</v>
      </c>
      <c r="M11" s="27">
        <v>2</v>
      </c>
      <c r="N11" s="27">
        <v>1</v>
      </c>
      <c r="O11" s="90" cm="1">
        <f t="array" ref="O11">SUM((D11:N11)/$O$7*100)</f>
        <v>47.619047619047613</v>
      </c>
      <c r="S11" s="27">
        <v>1</v>
      </c>
      <c r="T11" s="27">
        <v>1</v>
      </c>
      <c r="U11" s="27">
        <v>3</v>
      </c>
      <c r="V11" s="27">
        <v>2</v>
      </c>
      <c r="W11" s="27">
        <v>2</v>
      </c>
      <c r="X11" s="27">
        <v>1</v>
      </c>
      <c r="Y11" s="27">
        <v>3</v>
      </c>
      <c r="Z11" s="27">
        <v>2</v>
      </c>
      <c r="AA11" s="27">
        <v>2</v>
      </c>
      <c r="AB11" s="27">
        <v>2</v>
      </c>
      <c r="AC11" s="27">
        <v>1</v>
      </c>
      <c r="AD11" s="90">
        <f t="shared" si="0"/>
        <v>44.444444444444443</v>
      </c>
    </row>
    <row r="12" spans="1:30" ht="15" thickBot="1" x14ac:dyDescent="0.35">
      <c r="A12" s="24">
        <v>105</v>
      </c>
      <c r="B12" s="25" t="s">
        <v>24</v>
      </c>
      <c r="C12" s="26" t="s">
        <v>25</v>
      </c>
      <c r="D12" s="27">
        <v>1</v>
      </c>
      <c r="E12" s="27">
        <v>1</v>
      </c>
      <c r="F12" s="27">
        <v>3</v>
      </c>
      <c r="G12" s="27">
        <v>2</v>
      </c>
      <c r="H12" s="27">
        <v>5</v>
      </c>
      <c r="I12" s="27">
        <v>2</v>
      </c>
      <c r="J12" s="27">
        <v>2</v>
      </c>
      <c r="K12" s="27">
        <v>2</v>
      </c>
      <c r="L12" s="27">
        <v>2</v>
      </c>
      <c r="M12" s="27">
        <v>3</v>
      </c>
      <c r="N12" s="27">
        <v>1</v>
      </c>
      <c r="O12" s="90" cm="1">
        <f t="array" ref="O12">SUM((D12:N12)/$O$7*100)</f>
        <v>57.142857142857125</v>
      </c>
      <c r="S12" s="27">
        <v>1</v>
      </c>
      <c r="T12" s="27">
        <v>1</v>
      </c>
      <c r="U12" s="27">
        <v>3</v>
      </c>
      <c r="V12" s="27">
        <v>2</v>
      </c>
      <c r="W12" s="27">
        <v>5</v>
      </c>
      <c r="X12" s="27">
        <v>2</v>
      </c>
      <c r="Y12" s="27">
        <v>2</v>
      </c>
      <c r="Z12" s="27">
        <v>2</v>
      </c>
      <c r="AA12" s="27">
        <v>2</v>
      </c>
      <c r="AB12" s="27">
        <v>3</v>
      </c>
      <c r="AC12" s="27">
        <v>1</v>
      </c>
      <c r="AD12" s="90">
        <f t="shared" si="0"/>
        <v>53.333333333333336</v>
      </c>
    </row>
    <row r="13" spans="1:30" ht="15" thickBot="1" x14ac:dyDescent="0.35">
      <c r="A13" s="20">
        <v>106</v>
      </c>
      <c r="B13" s="21" t="s">
        <v>26</v>
      </c>
      <c r="C13" s="22" t="s">
        <v>27</v>
      </c>
      <c r="D13" s="18">
        <v>6</v>
      </c>
      <c r="E13" s="18">
        <v>1</v>
      </c>
      <c r="F13" s="18">
        <v>5</v>
      </c>
      <c r="G13" s="18">
        <v>3</v>
      </c>
      <c r="H13" s="18">
        <v>4</v>
      </c>
      <c r="I13" s="18">
        <v>2</v>
      </c>
      <c r="J13" s="18">
        <v>5</v>
      </c>
      <c r="K13" s="18">
        <v>2</v>
      </c>
      <c r="L13" s="18">
        <v>3</v>
      </c>
      <c r="M13" s="18">
        <v>5</v>
      </c>
      <c r="N13" s="18">
        <v>1</v>
      </c>
      <c r="O13" s="90" cm="1">
        <f t="array" ref="O13">SUM((D13:N13)/$O$7*100)</f>
        <v>88.095238095238074</v>
      </c>
      <c r="S13" s="18">
        <v>4</v>
      </c>
      <c r="T13" s="18">
        <v>1</v>
      </c>
      <c r="U13" s="18">
        <v>5</v>
      </c>
      <c r="V13" s="18">
        <v>3</v>
      </c>
      <c r="W13" s="18">
        <v>4</v>
      </c>
      <c r="X13" s="18">
        <v>2</v>
      </c>
      <c r="Y13" s="18">
        <v>5</v>
      </c>
      <c r="Z13" s="18">
        <v>2</v>
      </c>
      <c r="AA13" s="18">
        <v>3</v>
      </c>
      <c r="AB13" s="18">
        <v>6</v>
      </c>
      <c r="AC13" s="18">
        <v>1</v>
      </c>
      <c r="AD13" s="90">
        <f t="shared" si="0"/>
        <v>80</v>
      </c>
    </row>
    <row r="14" spans="1:30" ht="15" thickBot="1" x14ac:dyDescent="0.35">
      <c r="A14" s="24">
        <v>107</v>
      </c>
      <c r="B14" s="25" t="s">
        <v>28</v>
      </c>
      <c r="C14" s="26" t="s">
        <v>29</v>
      </c>
      <c r="D14" s="27">
        <v>3</v>
      </c>
      <c r="E14" s="27">
        <v>1</v>
      </c>
      <c r="F14" s="27">
        <v>4</v>
      </c>
      <c r="G14" s="27">
        <v>3</v>
      </c>
      <c r="H14" s="27">
        <v>4</v>
      </c>
      <c r="I14" s="27">
        <v>1</v>
      </c>
      <c r="J14" s="27">
        <v>4</v>
      </c>
      <c r="K14" s="27">
        <v>2</v>
      </c>
      <c r="L14" s="27">
        <v>3</v>
      </c>
      <c r="M14" s="27">
        <v>3</v>
      </c>
      <c r="N14" s="27">
        <v>2</v>
      </c>
      <c r="O14" s="90" cm="1">
        <f t="array" ref="O14">SUM((D14:N14)/$O$7*100)</f>
        <v>71.428571428571416</v>
      </c>
      <c r="S14" s="27">
        <v>3</v>
      </c>
      <c r="T14" s="27">
        <v>1</v>
      </c>
      <c r="U14" s="27">
        <v>4</v>
      </c>
      <c r="V14" s="27">
        <v>3</v>
      </c>
      <c r="W14" s="27">
        <v>4</v>
      </c>
      <c r="X14" s="27">
        <v>1</v>
      </c>
      <c r="Y14" s="27">
        <v>4</v>
      </c>
      <c r="Z14" s="27">
        <v>2</v>
      </c>
      <c r="AA14" s="27">
        <v>3</v>
      </c>
      <c r="AB14" s="27">
        <v>3</v>
      </c>
      <c r="AC14" s="27">
        <v>2</v>
      </c>
      <c r="AD14" s="90">
        <f t="shared" si="0"/>
        <v>66.666666666666657</v>
      </c>
    </row>
    <row r="15" spans="1:30" ht="15" thickBot="1" x14ac:dyDescent="0.35">
      <c r="A15" s="20">
        <v>108</v>
      </c>
      <c r="B15" s="21" t="s">
        <v>30</v>
      </c>
      <c r="C15" s="22" t="s">
        <v>31</v>
      </c>
      <c r="D15" s="18">
        <v>3</v>
      </c>
      <c r="E15" s="18">
        <v>1</v>
      </c>
      <c r="F15" s="18">
        <v>4</v>
      </c>
      <c r="G15" s="18">
        <v>3</v>
      </c>
      <c r="H15" s="18">
        <v>3</v>
      </c>
      <c r="I15" s="18">
        <v>2</v>
      </c>
      <c r="J15" s="18">
        <v>5</v>
      </c>
      <c r="K15" s="18">
        <v>2</v>
      </c>
      <c r="L15" s="18">
        <v>3</v>
      </c>
      <c r="M15" s="18">
        <v>4</v>
      </c>
      <c r="N15" s="18">
        <v>2</v>
      </c>
      <c r="O15" s="90" cm="1">
        <f t="array" ref="O15">SUM((D15:N15)/$O$7*100)</f>
        <v>76.190476190476176</v>
      </c>
      <c r="S15" s="18">
        <v>3</v>
      </c>
      <c r="T15" s="18">
        <v>1</v>
      </c>
      <c r="U15" s="18">
        <v>4</v>
      </c>
      <c r="V15" s="18">
        <v>3</v>
      </c>
      <c r="W15" s="18">
        <v>3</v>
      </c>
      <c r="X15" s="18">
        <v>2</v>
      </c>
      <c r="Y15" s="18">
        <v>5</v>
      </c>
      <c r="Z15" s="18">
        <v>2</v>
      </c>
      <c r="AA15" s="18">
        <v>3</v>
      </c>
      <c r="AB15" s="18">
        <v>4</v>
      </c>
      <c r="AC15" s="18">
        <v>2</v>
      </c>
      <c r="AD15" s="90">
        <f t="shared" si="0"/>
        <v>71.111111111111114</v>
      </c>
    </row>
    <row r="16" spans="1:30" ht="15" thickBot="1" x14ac:dyDescent="0.35">
      <c r="A16" s="24">
        <v>109</v>
      </c>
      <c r="B16" s="25" t="s">
        <v>32</v>
      </c>
      <c r="C16" s="26" t="s">
        <v>33</v>
      </c>
      <c r="D16" s="27">
        <v>1</v>
      </c>
      <c r="E16" s="27">
        <v>0</v>
      </c>
      <c r="F16" s="27">
        <v>1</v>
      </c>
      <c r="G16" s="27">
        <v>2</v>
      </c>
      <c r="H16" s="27">
        <v>4</v>
      </c>
      <c r="I16" s="27">
        <v>0</v>
      </c>
      <c r="J16" s="27">
        <v>2</v>
      </c>
      <c r="K16" s="27">
        <v>2</v>
      </c>
      <c r="L16" s="27">
        <v>1</v>
      </c>
      <c r="M16" s="27">
        <v>1</v>
      </c>
      <c r="N16" s="27">
        <v>0</v>
      </c>
      <c r="O16" s="90" cm="1">
        <f t="array" ref="O16">SUM((D16:N16)/$O$7*100)</f>
        <v>33.333333333333336</v>
      </c>
      <c r="S16" s="27">
        <v>1</v>
      </c>
      <c r="T16" s="27">
        <v>0</v>
      </c>
      <c r="U16" s="27">
        <v>1</v>
      </c>
      <c r="V16" s="27">
        <v>2</v>
      </c>
      <c r="W16" s="27">
        <v>4</v>
      </c>
      <c r="X16" s="27">
        <v>0</v>
      </c>
      <c r="Y16" s="27">
        <v>2</v>
      </c>
      <c r="Z16" s="27">
        <v>2</v>
      </c>
      <c r="AA16" s="27">
        <v>6</v>
      </c>
      <c r="AB16" s="27">
        <v>5</v>
      </c>
      <c r="AC16" s="27">
        <v>0</v>
      </c>
      <c r="AD16" s="90">
        <f t="shared" si="0"/>
        <v>51.111111111111107</v>
      </c>
    </row>
    <row r="17" spans="1:30" ht="15" thickBot="1" x14ac:dyDescent="0.35">
      <c r="A17" s="20">
        <v>110</v>
      </c>
      <c r="B17" s="21" t="s">
        <v>34</v>
      </c>
      <c r="C17" s="22" t="s">
        <v>35</v>
      </c>
      <c r="D17" s="18">
        <v>2</v>
      </c>
      <c r="E17" s="18">
        <v>1</v>
      </c>
      <c r="F17" s="18">
        <v>4</v>
      </c>
      <c r="G17" s="18">
        <v>3</v>
      </c>
      <c r="H17" s="18">
        <v>4</v>
      </c>
      <c r="I17" s="18">
        <v>1</v>
      </c>
      <c r="J17" s="18">
        <v>4</v>
      </c>
      <c r="K17" s="18">
        <v>2</v>
      </c>
      <c r="L17" s="18">
        <v>3</v>
      </c>
      <c r="M17" s="18">
        <v>5</v>
      </c>
      <c r="N17" s="18">
        <v>2</v>
      </c>
      <c r="O17" s="90" cm="1">
        <f t="array" ref="O17">SUM((D17:N17)/$O$7*100)</f>
        <v>73.809523809523796</v>
      </c>
      <c r="S17" s="18">
        <v>2</v>
      </c>
      <c r="T17" s="18">
        <v>1</v>
      </c>
      <c r="U17" s="18">
        <v>4</v>
      </c>
      <c r="V17" s="18">
        <v>3</v>
      </c>
      <c r="W17" s="18">
        <v>4</v>
      </c>
      <c r="X17" s="18">
        <v>1</v>
      </c>
      <c r="Y17" s="18">
        <v>4</v>
      </c>
      <c r="Z17" s="18">
        <v>2</v>
      </c>
      <c r="AA17" s="18">
        <v>3</v>
      </c>
      <c r="AB17" s="18">
        <v>5</v>
      </c>
      <c r="AC17" s="18">
        <v>2</v>
      </c>
      <c r="AD17" s="90">
        <f t="shared" si="0"/>
        <v>68.888888888888886</v>
      </c>
    </row>
    <row r="18" spans="1:30" ht="15" thickBot="1" x14ac:dyDescent="0.35">
      <c r="A18" s="24">
        <v>111</v>
      </c>
      <c r="B18" s="25" t="s">
        <v>36</v>
      </c>
      <c r="C18" s="26" t="s">
        <v>37</v>
      </c>
      <c r="D18" s="27">
        <v>2</v>
      </c>
      <c r="E18" s="27">
        <v>1</v>
      </c>
      <c r="F18" s="27">
        <v>3</v>
      </c>
      <c r="G18" s="27">
        <v>3</v>
      </c>
      <c r="H18" s="27">
        <v>5</v>
      </c>
      <c r="I18" s="27">
        <v>2</v>
      </c>
      <c r="J18" s="27">
        <v>2</v>
      </c>
      <c r="K18" s="27">
        <v>2</v>
      </c>
      <c r="L18" s="27">
        <v>2</v>
      </c>
      <c r="M18" s="27">
        <v>3</v>
      </c>
      <c r="N18" s="27">
        <v>1</v>
      </c>
      <c r="O18" s="90" cm="1">
        <f t="array" ref="O18">SUM((D18:N18)/$O$7*100)</f>
        <v>61.904761904761884</v>
      </c>
      <c r="S18" s="27">
        <v>2</v>
      </c>
      <c r="T18" s="27">
        <v>1</v>
      </c>
      <c r="U18" s="27">
        <v>3</v>
      </c>
      <c r="V18" s="27">
        <v>3</v>
      </c>
      <c r="W18" s="27">
        <v>5</v>
      </c>
      <c r="X18" s="27">
        <v>2</v>
      </c>
      <c r="Y18" s="27">
        <v>2</v>
      </c>
      <c r="Z18" s="27">
        <v>2</v>
      </c>
      <c r="AA18" s="27">
        <v>2</v>
      </c>
      <c r="AB18" s="27">
        <v>3</v>
      </c>
      <c r="AC18" s="27">
        <v>1</v>
      </c>
      <c r="AD18" s="90">
        <f t="shared" si="0"/>
        <v>57.777777777777771</v>
      </c>
    </row>
    <row r="19" spans="1:30" ht="15" thickBot="1" x14ac:dyDescent="0.35">
      <c r="A19" s="20">
        <v>112</v>
      </c>
      <c r="B19" s="21" t="s">
        <v>38</v>
      </c>
      <c r="C19" s="22" t="s">
        <v>39</v>
      </c>
      <c r="D19" s="18">
        <v>4</v>
      </c>
      <c r="E19" s="18">
        <v>1</v>
      </c>
      <c r="F19" s="18">
        <v>4</v>
      </c>
      <c r="G19" s="18">
        <v>3</v>
      </c>
      <c r="H19" s="18">
        <v>4</v>
      </c>
      <c r="I19" s="18">
        <v>1</v>
      </c>
      <c r="J19" s="18">
        <v>4</v>
      </c>
      <c r="K19" s="18">
        <v>2</v>
      </c>
      <c r="L19" s="18">
        <v>4</v>
      </c>
      <c r="M19" s="18">
        <v>4</v>
      </c>
      <c r="N19" s="18">
        <v>1</v>
      </c>
      <c r="O19" s="90" cm="1">
        <f t="array" ref="O19">SUM((D19:N19)/$O$7*100)</f>
        <v>76.190476190476176</v>
      </c>
      <c r="S19" s="18">
        <v>4</v>
      </c>
      <c r="T19" s="18">
        <v>1</v>
      </c>
      <c r="U19" s="18">
        <v>4</v>
      </c>
      <c r="V19" s="18">
        <v>3</v>
      </c>
      <c r="W19" s="18">
        <v>4</v>
      </c>
      <c r="X19" s="18">
        <v>1</v>
      </c>
      <c r="Y19" s="18">
        <v>4</v>
      </c>
      <c r="Z19" s="18">
        <v>2</v>
      </c>
      <c r="AA19" s="18">
        <v>4</v>
      </c>
      <c r="AB19" s="18">
        <v>6</v>
      </c>
      <c r="AC19" s="18">
        <v>1</v>
      </c>
      <c r="AD19" s="90">
        <f t="shared" si="0"/>
        <v>75.555555555555557</v>
      </c>
    </row>
    <row r="20" spans="1:30" ht="15" thickBot="1" x14ac:dyDescent="0.35">
      <c r="A20" s="24">
        <v>113</v>
      </c>
      <c r="B20" s="25" t="s">
        <v>40</v>
      </c>
      <c r="C20" s="26" t="s">
        <v>41</v>
      </c>
      <c r="D20" s="27">
        <v>2</v>
      </c>
      <c r="E20" s="27">
        <v>1</v>
      </c>
      <c r="F20" s="27">
        <v>3</v>
      </c>
      <c r="G20" s="27">
        <v>2</v>
      </c>
      <c r="H20" s="27">
        <v>5</v>
      </c>
      <c r="I20" s="27">
        <v>1</v>
      </c>
      <c r="J20" s="27">
        <v>5</v>
      </c>
      <c r="K20" s="27">
        <v>2</v>
      </c>
      <c r="L20" s="27">
        <v>3</v>
      </c>
      <c r="M20" s="27">
        <v>3</v>
      </c>
      <c r="N20" s="27">
        <v>2</v>
      </c>
      <c r="O20" s="90" cm="1">
        <f t="array" ref="O20">SUM((D20:N20)/$O$7*100)</f>
        <v>69.047619047619037</v>
      </c>
      <c r="S20" s="27">
        <v>2</v>
      </c>
      <c r="T20" s="27">
        <v>1</v>
      </c>
      <c r="U20" s="27">
        <v>3</v>
      </c>
      <c r="V20" s="27">
        <v>2</v>
      </c>
      <c r="W20" s="27">
        <v>5</v>
      </c>
      <c r="X20" s="27">
        <v>1</v>
      </c>
      <c r="Y20" s="27">
        <v>5</v>
      </c>
      <c r="Z20" s="27">
        <v>2</v>
      </c>
      <c r="AA20" s="27">
        <v>3</v>
      </c>
      <c r="AB20" s="27">
        <v>3</v>
      </c>
      <c r="AC20" s="27">
        <v>2</v>
      </c>
      <c r="AD20" s="90">
        <f t="shared" si="0"/>
        <v>64.444444444444443</v>
      </c>
    </row>
    <row r="21" spans="1:30" ht="15" thickBot="1" x14ac:dyDescent="0.35">
      <c r="A21" s="20">
        <v>114</v>
      </c>
      <c r="B21" s="21" t="s">
        <v>42</v>
      </c>
      <c r="C21" s="22" t="s">
        <v>43</v>
      </c>
      <c r="D21" s="18">
        <v>4</v>
      </c>
      <c r="E21" s="18">
        <v>1</v>
      </c>
      <c r="F21" s="18">
        <v>5</v>
      </c>
      <c r="G21" s="18">
        <v>3</v>
      </c>
      <c r="H21" s="18">
        <v>4</v>
      </c>
      <c r="I21" s="18">
        <v>2</v>
      </c>
      <c r="J21" s="18">
        <v>5</v>
      </c>
      <c r="K21" s="18">
        <v>2</v>
      </c>
      <c r="L21" s="18">
        <v>3</v>
      </c>
      <c r="M21" s="18">
        <v>5</v>
      </c>
      <c r="N21" s="18">
        <v>1</v>
      </c>
      <c r="O21" s="90" cm="1">
        <f t="array" ref="O21">SUM((D21:N21)/$O$7*100)</f>
        <v>83.333333333333314</v>
      </c>
      <c r="S21" s="18">
        <v>4</v>
      </c>
      <c r="T21" s="18">
        <v>1</v>
      </c>
      <c r="U21" s="18">
        <v>5</v>
      </c>
      <c r="V21" s="18">
        <v>3</v>
      </c>
      <c r="W21" s="18">
        <v>4</v>
      </c>
      <c r="X21" s="18">
        <v>2</v>
      </c>
      <c r="Y21" s="18">
        <v>5</v>
      </c>
      <c r="Z21" s="18">
        <v>2</v>
      </c>
      <c r="AA21" s="18">
        <v>3</v>
      </c>
      <c r="AB21" s="18">
        <v>5</v>
      </c>
      <c r="AC21" s="18">
        <v>1</v>
      </c>
      <c r="AD21" s="90">
        <f t="shared" si="0"/>
        <v>77.777777777777786</v>
      </c>
    </row>
    <row r="22" spans="1:30" ht="15" thickBot="1" x14ac:dyDescent="0.35">
      <c r="A22" s="24">
        <v>115</v>
      </c>
      <c r="B22" s="25" t="s">
        <v>44</v>
      </c>
      <c r="C22" s="26" t="s">
        <v>45</v>
      </c>
      <c r="D22" s="27">
        <v>1</v>
      </c>
      <c r="E22" s="27">
        <v>0</v>
      </c>
      <c r="F22" s="27">
        <v>2</v>
      </c>
      <c r="G22" s="27">
        <v>2</v>
      </c>
      <c r="H22" s="27">
        <v>5</v>
      </c>
      <c r="I22" s="27">
        <v>1</v>
      </c>
      <c r="J22" s="27">
        <v>3</v>
      </c>
      <c r="K22" s="27">
        <v>2</v>
      </c>
      <c r="L22" s="27">
        <v>1</v>
      </c>
      <c r="M22" s="27">
        <v>2</v>
      </c>
      <c r="N22" s="27">
        <v>2</v>
      </c>
      <c r="O22" s="90" cm="1">
        <f t="array" ref="O22">SUM((D22:N22)/$O$7*100)</f>
        <v>49.999999999999986</v>
      </c>
      <c r="S22" s="27">
        <v>1</v>
      </c>
      <c r="T22" s="27">
        <v>0</v>
      </c>
      <c r="U22" s="27">
        <v>2</v>
      </c>
      <c r="V22" s="27">
        <v>2</v>
      </c>
      <c r="W22" s="27">
        <v>5</v>
      </c>
      <c r="X22" s="27">
        <v>1</v>
      </c>
      <c r="Y22" s="27">
        <v>3</v>
      </c>
      <c r="Z22" s="27">
        <v>2</v>
      </c>
      <c r="AA22" s="27">
        <v>1</v>
      </c>
      <c r="AB22" s="27">
        <v>2</v>
      </c>
      <c r="AC22" s="27">
        <v>2</v>
      </c>
      <c r="AD22" s="90">
        <f t="shared" si="0"/>
        <v>46.666666666666664</v>
      </c>
    </row>
    <row r="23" spans="1:30" ht="15" thickBot="1" x14ac:dyDescent="0.35">
      <c r="A23" s="20">
        <v>116</v>
      </c>
      <c r="B23" s="21" t="s">
        <v>46</v>
      </c>
      <c r="C23" s="22" t="s">
        <v>47</v>
      </c>
      <c r="D23" s="18">
        <v>4</v>
      </c>
      <c r="E23" s="18">
        <v>1</v>
      </c>
      <c r="F23" s="18">
        <v>3</v>
      </c>
      <c r="G23" s="18">
        <v>3</v>
      </c>
      <c r="H23" s="18">
        <v>5</v>
      </c>
      <c r="I23" s="18">
        <v>2</v>
      </c>
      <c r="J23" s="18">
        <v>3</v>
      </c>
      <c r="K23" s="18">
        <v>2</v>
      </c>
      <c r="L23" s="18">
        <v>4</v>
      </c>
      <c r="M23" s="18">
        <v>5</v>
      </c>
      <c r="N23" s="18">
        <v>1</v>
      </c>
      <c r="O23" s="90" cm="1">
        <f t="array" ref="O23">SUM((D23:N23)/$O$7*100)</f>
        <v>78.571428571428555</v>
      </c>
      <c r="S23" s="18">
        <v>4</v>
      </c>
      <c r="T23" s="18">
        <v>1</v>
      </c>
      <c r="U23" s="18">
        <v>3</v>
      </c>
      <c r="V23" s="18">
        <v>3</v>
      </c>
      <c r="W23" s="18">
        <v>5</v>
      </c>
      <c r="X23" s="18">
        <v>2</v>
      </c>
      <c r="Y23" s="18">
        <v>3</v>
      </c>
      <c r="Z23" s="18">
        <v>2</v>
      </c>
      <c r="AA23" s="18">
        <v>4</v>
      </c>
      <c r="AB23" s="18">
        <v>5</v>
      </c>
      <c r="AC23" s="18">
        <v>1</v>
      </c>
      <c r="AD23" s="90">
        <f t="shared" si="0"/>
        <v>73.333333333333329</v>
      </c>
    </row>
    <row r="24" spans="1:30" ht="15" thickBot="1" x14ac:dyDescent="0.35">
      <c r="A24" s="24">
        <v>117</v>
      </c>
      <c r="B24" s="25" t="s">
        <v>48</v>
      </c>
      <c r="C24" s="26" t="s">
        <v>49</v>
      </c>
      <c r="D24" s="27">
        <v>2</v>
      </c>
      <c r="E24" s="27">
        <v>1</v>
      </c>
      <c r="F24" s="27">
        <v>1</v>
      </c>
      <c r="G24" s="27">
        <v>2</v>
      </c>
      <c r="H24" s="27">
        <v>5</v>
      </c>
      <c r="I24" s="27">
        <v>1</v>
      </c>
      <c r="J24" s="27">
        <v>3</v>
      </c>
      <c r="K24" s="27">
        <v>2</v>
      </c>
      <c r="L24" s="27">
        <v>3</v>
      </c>
      <c r="M24" s="27">
        <v>2</v>
      </c>
      <c r="N24" s="27">
        <v>2</v>
      </c>
      <c r="O24" s="90" cm="1">
        <f t="array" ref="O24">SUM((D24:N24)/$O$7*100)</f>
        <v>57.142857142857125</v>
      </c>
      <c r="S24" s="27">
        <v>2</v>
      </c>
      <c r="T24" s="27">
        <v>1</v>
      </c>
      <c r="U24" s="27">
        <v>1</v>
      </c>
      <c r="V24" s="27">
        <v>2</v>
      </c>
      <c r="W24" s="27">
        <v>5</v>
      </c>
      <c r="X24" s="27">
        <v>1</v>
      </c>
      <c r="Y24" s="27">
        <v>3</v>
      </c>
      <c r="Z24" s="27">
        <v>2</v>
      </c>
      <c r="AA24" s="27">
        <v>3</v>
      </c>
      <c r="AB24" s="27">
        <v>2</v>
      </c>
      <c r="AC24" s="27">
        <v>2</v>
      </c>
      <c r="AD24" s="90">
        <f t="shared" si="0"/>
        <v>53.333333333333336</v>
      </c>
    </row>
    <row r="25" spans="1:30" ht="15" thickBot="1" x14ac:dyDescent="0.35">
      <c r="A25" s="24">
        <v>118</v>
      </c>
      <c r="B25" s="25" t="s">
        <v>50</v>
      </c>
      <c r="C25" s="26" t="s">
        <v>51</v>
      </c>
      <c r="D25" s="27">
        <v>2</v>
      </c>
      <c r="E25" s="27">
        <v>1</v>
      </c>
      <c r="F25" s="27">
        <v>3</v>
      </c>
      <c r="G25" s="27">
        <v>2</v>
      </c>
      <c r="H25" s="27">
        <v>4</v>
      </c>
      <c r="I25" s="27">
        <v>2</v>
      </c>
      <c r="J25" s="27">
        <v>3</v>
      </c>
      <c r="K25" s="27">
        <v>2</v>
      </c>
      <c r="L25" s="27">
        <v>3</v>
      </c>
      <c r="M25" s="27">
        <v>3</v>
      </c>
      <c r="N25" s="27">
        <v>1</v>
      </c>
      <c r="O25" s="90" cm="1">
        <f t="array" ref="O25">SUM((D25:N25)/$O$7*100)</f>
        <v>61.904761904761884</v>
      </c>
      <c r="S25" s="27">
        <v>2</v>
      </c>
      <c r="T25" s="27">
        <v>1</v>
      </c>
      <c r="U25" s="27">
        <v>3</v>
      </c>
      <c r="V25" s="27">
        <v>2</v>
      </c>
      <c r="W25" s="27">
        <v>4</v>
      </c>
      <c r="X25" s="27">
        <v>2</v>
      </c>
      <c r="Y25" s="27">
        <v>3</v>
      </c>
      <c r="Z25" s="27">
        <v>2</v>
      </c>
      <c r="AA25" s="27">
        <v>3</v>
      </c>
      <c r="AB25" s="27">
        <v>3</v>
      </c>
      <c r="AC25" s="27">
        <v>1</v>
      </c>
      <c r="AD25" s="90">
        <f t="shared" si="0"/>
        <v>57.777777777777771</v>
      </c>
    </row>
    <row r="26" spans="1:30" ht="15" thickBot="1" x14ac:dyDescent="0.35">
      <c r="A26" s="20">
        <v>119</v>
      </c>
      <c r="B26" s="21" t="s">
        <v>52</v>
      </c>
      <c r="C26" s="22" t="s">
        <v>53</v>
      </c>
      <c r="D26" s="18">
        <v>3</v>
      </c>
      <c r="E26" s="18">
        <v>1</v>
      </c>
      <c r="F26" s="18">
        <v>5</v>
      </c>
      <c r="G26" s="18">
        <v>3</v>
      </c>
      <c r="H26" s="18">
        <v>4</v>
      </c>
      <c r="I26" s="18">
        <v>1</v>
      </c>
      <c r="J26" s="18">
        <v>5</v>
      </c>
      <c r="K26" s="18">
        <v>2</v>
      </c>
      <c r="L26" s="18">
        <v>3</v>
      </c>
      <c r="M26" s="18">
        <v>5</v>
      </c>
      <c r="N26" s="18">
        <v>1</v>
      </c>
      <c r="O26" s="90" cm="1">
        <f t="array" ref="O26">SUM((D26:N26)/$O$7*100)</f>
        <v>78.571428571428555</v>
      </c>
      <c r="S26" s="18">
        <v>3</v>
      </c>
      <c r="T26" s="18">
        <v>1</v>
      </c>
      <c r="U26" s="18">
        <v>5</v>
      </c>
      <c r="V26" s="18">
        <v>3</v>
      </c>
      <c r="W26" s="18">
        <v>4</v>
      </c>
      <c r="X26" s="18">
        <v>1</v>
      </c>
      <c r="Y26" s="18">
        <v>5</v>
      </c>
      <c r="Z26" s="18">
        <v>2</v>
      </c>
      <c r="AA26" s="18">
        <v>3</v>
      </c>
      <c r="AB26" s="18">
        <v>5</v>
      </c>
      <c r="AC26" s="18">
        <v>1</v>
      </c>
      <c r="AD26" s="90">
        <f t="shared" si="0"/>
        <v>73.333333333333329</v>
      </c>
    </row>
    <row r="27" spans="1:30" ht="15" thickBot="1" x14ac:dyDescent="0.35">
      <c r="A27" s="24">
        <v>120</v>
      </c>
      <c r="B27" s="25" t="s">
        <v>54</v>
      </c>
      <c r="C27" s="26" t="s">
        <v>55</v>
      </c>
      <c r="D27" s="27">
        <v>3</v>
      </c>
      <c r="E27" s="27">
        <v>0</v>
      </c>
      <c r="F27" s="27">
        <v>4</v>
      </c>
      <c r="G27" s="27">
        <v>2</v>
      </c>
      <c r="H27" s="27">
        <v>4</v>
      </c>
      <c r="I27" s="27">
        <v>2</v>
      </c>
      <c r="J27" s="27">
        <v>4</v>
      </c>
      <c r="K27" s="27">
        <v>2</v>
      </c>
      <c r="L27" s="27">
        <v>2</v>
      </c>
      <c r="M27" s="27">
        <v>3</v>
      </c>
      <c r="N27" s="27">
        <v>2</v>
      </c>
      <c r="O27" s="90" cm="1">
        <f t="array" ref="O27">SUM((D27:N27)/$O$7*100)</f>
        <v>66.666666666666657</v>
      </c>
      <c r="S27" s="27">
        <v>3</v>
      </c>
      <c r="T27" s="27">
        <v>0</v>
      </c>
      <c r="U27" s="27">
        <v>4</v>
      </c>
      <c r="V27" s="27">
        <v>2</v>
      </c>
      <c r="W27" s="27">
        <v>4</v>
      </c>
      <c r="X27" s="27">
        <v>2</v>
      </c>
      <c r="Y27" s="27">
        <v>4</v>
      </c>
      <c r="Z27" s="27">
        <v>2</v>
      </c>
      <c r="AA27" s="27">
        <v>2</v>
      </c>
      <c r="AB27" s="27">
        <v>3</v>
      </c>
      <c r="AC27" s="27">
        <v>2</v>
      </c>
      <c r="AD27" s="90">
        <f t="shared" si="0"/>
        <v>62.222222222222221</v>
      </c>
    </row>
    <row r="28" spans="1:30" ht="15" thickBot="1" x14ac:dyDescent="0.35">
      <c r="A28" s="24">
        <v>121</v>
      </c>
      <c r="B28" s="25" t="s">
        <v>57</v>
      </c>
      <c r="C28" s="26" t="s">
        <v>58</v>
      </c>
      <c r="D28" s="27">
        <v>1</v>
      </c>
      <c r="E28" s="27">
        <v>1</v>
      </c>
      <c r="F28" s="27">
        <v>2</v>
      </c>
      <c r="G28" s="27">
        <v>3</v>
      </c>
      <c r="H28" s="27">
        <v>3</v>
      </c>
      <c r="I28" s="27">
        <v>1</v>
      </c>
      <c r="J28" s="27">
        <v>4</v>
      </c>
      <c r="K28" s="27">
        <v>2</v>
      </c>
      <c r="L28" s="27">
        <v>1</v>
      </c>
      <c r="M28" s="27">
        <v>4</v>
      </c>
      <c r="N28" s="27">
        <v>1</v>
      </c>
      <c r="O28" s="90" cm="1">
        <f t="array" ref="O28">SUM((D28:N28)/$O$7*100)</f>
        <v>54.761904761904752</v>
      </c>
      <c r="S28" s="27">
        <v>1</v>
      </c>
      <c r="T28" s="27">
        <v>1</v>
      </c>
      <c r="U28" s="27">
        <v>2</v>
      </c>
      <c r="V28" s="27">
        <v>3</v>
      </c>
      <c r="W28" s="27">
        <v>3</v>
      </c>
      <c r="X28" s="27">
        <v>1</v>
      </c>
      <c r="Y28" s="27">
        <v>4</v>
      </c>
      <c r="Z28" s="27">
        <v>2</v>
      </c>
      <c r="AA28" s="27">
        <v>1</v>
      </c>
      <c r="AB28" s="27">
        <v>4</v>
      </c>
      <c r="AC28" s="27">
        <v>1</v>
      </c>
      <c r="AD28" s="90">
        <f t="shared" si="0"/>
        <v>51.111111111111107</v>
      </c>
    </row>
    <row r="29" spans="1:30" ht="15" thickBot="1" x14ac:dyDescent="0.35">
      <c r="A29" s="24">
        <v>122</v>
      </c>
      <c r="B29" s="25" t="s">
        <v>59</v>
      </c>
      <c r="C29" s="26" t="s">
        <v>60</v>
      </c>
      <c r="D29" s="27">
        <v>3</v>
      </c>
      <c r="E29" s="27">
        <v>1</v>
      </c>
      <c r="F29" s="27">
        <v>2</v>
      </c>
      <c r="G29" s="27">
        <v>2</v>
      </c>
      <c r="H29" s="27">
        <v>2</v>
      </c>
      <c r="I29" s="27">
        <v>1</v>
      </c>
      <c r="J29" s="27">
        <v>3</v>
      </c>
      <c r="K29" s="27">
        <v>2</v>
      </c>
      <c r="L29" s="27">
        <v>2</v>
      </c>
      <c r="M29" s="27">
        <v>2</v>
      </c>
      <c r="N29" s="27">
        <v>1</v>
      </c>
      <c r="O29" s="90" cm="1">
        <f t="array" ref="O29">SUM((D29:N29)/$O$7*100)</f>
        <v>49.999999999999986</v>
      </c>
      <c r="S29" s="27">
        <v>3</v>
      </c>
      <c r="T29" s="27">
        <v>1</v>
      </c>
      <c r="U29" s="27">
        <v>2</v>
      </c>
      <c r="V29" s="27">
        <v>2</v>
      </c>
      <c r="W29" s="27">
        <v>2</v>
      </c>
      <c r="X29" s="27">
        <v>1</v>
      </c>
      <c r="Y29" s="27">
        <v>3</v>
      </c>
      <c r="Z29" s="27">
        <v>2</v>
      </c>
      <c r="AA29" s="27">
        <v>2</v>
      </c>
      <c r="AB29" s="27">
        <v>2</v>
      </c>
      <c r="AC29" s="27">
        <v>1</v>
      </c>
      <c r="AD29" s="90">
        <f t="shared" si="0"/>
        <v>46.666666666666664</v>
      </c>
    </row>
    <row r="30" spans="1:30" ht="15" thickBot="1" x14ac:dyDescent="0.35">
      <c r="A30" s="20">
        <v>123</v>
      </c>
      <c r="B30" s="21" t="s">
        <v>61</v>
      </c>
      <c r="C30" s="22" t="s">
        <v>62</v>
      </c>
      <c r="D30" s="18">
        <v>4</v>
      </c>
      <c r="E30" s="18">
        <v>1</v>
      </c>
      <c r="F30" s="18">
        <v>3</v>
      </c>
      <c r="G30" s="18">
        <v>2</v>
      </c>
      <c r="H30" s="18">
        <v>5</v>
      </c>
      <c r="I30" s="18">
        <v>2</v>
      </c>
      <c r="J30" s="18">
        <v>3</v>
      </c>
      <c r="K30" s="18">
        <v>2</v>
      </c>
      <c r="L30" s="18">
        <v>4</v>
      </c>
      <c r="M30" s="18">
        <v>5</v>
      </c>
      <c r="N30" s="18">
        <v>1</v>
      </c>
      <c r="O30" s="90" cm="1">
        <f t="array" ref="O30">SUM((D30:N30)/$O$7*100)</f>
        <v>76.19047619047619</v>
      </c>
      <c r="S30" s="18">
        <v>4</v>
      </c>
      <c r="T30" s="18">
        <v>1</v>
      </c>
      <c r="U30" s="18">
        <v>3</v>
      </c>
      <c r="V30" s="18">
        <v>2</v>
      </c>
      <c r="W30" s="18">
        <v>5</v>
      </c>
      <c r="X30" s="18">
        <v>2</v>
      </c>
      <c r="Y30" s="18">
        <v>3</v>
      </c>
      <c r="Z30" s="18">
        <v>2</v>
      </c>
      <c r="AA30" s="18">
        <v>4</v>
      </c>
      <c r="AB30" s="18">
        <v>5</v>
      </c>
      <c r="AC30" s="18">
        <v>1</v>
      </c>
      <c r="AD30" s="90">
        <f t="shared" si="0"/>
        <v>71.111111111111114</v>
      </c>
    </row>
    <row r="31" spans="1:30" ht="15" thickBot="1" x14ac:dyDescent="0.35">
      <c r="A31" s="24">
        <v>124</v>
      </c>
      <c r="B31" s="25" t="s">
        <v>63</v>
      </c>
      <c r="C31" s="26" t="s">
        <v>64</v>
      </c>
      <c r="D31" s="27">
        <v>1</v>
      </c>
      <c r="E31" s="27">
        <v>0</v>
      </c>
      <c r="F31" s="27">
        <v>3</v>
      </c>
      <c r="G31" s="27">
        <v>2</v>
      </c>
      <c r="H31" s="27">
        <v>2</v>
      </c>
      <c r="I31" s="27">
        <v>1</v>
      </c>
      <c r="J31" s="27">
        <v>3</v>
      </c>
      <c r="K31" s="27">
        <v>2</v>
      </c>
      <c r="L31" s="27">
        <v>2</v>
      </c>
      <c r="M31" s="27">
        <v>4</v>
      </c>
      <c r="N31" s="27">
        <v>1</v>
      </c>
      <c r="O31" s="90" cm="1">
        <f t="array" ref="O31">SUM((D31:N31)/$O$7*100)</f>
        <v>49.999999999999993</v>
      </c>
      <c r="S31" s="27">
        <v>1</v>
      </c>
      <c r="T31" s="27">
        <v>0</v>
      </c>
      <c r="U31" s="27">
        <v>3</v>
      </c>
      <c r="V31" s="27">
        <v>2</v>
      </c>
      <c r="W31" s="27">
        <v>2</v>
      </c>
      <c r="X31" s="27">
        <v>1</v>
      </c>
      <c r="Y31" s="27">
        <v>3</v>
      </c>
      <c r="Z31" s="27">
        <v>2</v>
      </c>
      <c r="AA31" s="27">
        <v>2</v>
      </c>
      <c r="AB31" s="27">
        <v>4</v>
      </c>
      <c r="AC31" s="27">
        <v>1</v>
      </c>
      <c r="AD31" s="90">
        <f t="shared" si="0"/>
        <v>46.666666666666664</v>
      </c>
    </row>
    <row r="32" spans="1:30" ht="15" thickBot="1" x14ac:dyDescent="0.35">
      <c r="A32" s="24">
        <v>125</v>
      </c>
      <c r="B32" s="25" t="s">
        <v>65</v>
      </c>
      <c r="C32" s="26" t="s">
        <v>66</v>
      </c>
      <c r="D32" s="27">
        <v>3</v>
      </c>
      <c r="E32" s="27">
        <v>0</v>
      </c>
      <c r="F32" s="27">
        <v>2</v>
      </c>
      <c r="G32" s="27">
        <v>3</v>
      </c>
      <c r="H32" s="27">
        <v>4</v>
      </c>
      <c r="I32" s="27">
        <v>2</v>
      </c>
      <c r="J32" s="27">
        <v>3</v>
      </c>
      <c r="K32" s="27">
        <v>2</v>
      </c>
      <c r="L32" s="27">
        <v>3</v>
      </c>
      <c r="M32" s="27">
        <v>3</v>
      </c>
      <c r="N32" s="27">
        <v>1</v>
      </c>
      <c r="O32" s="90" cm="1">
        <f t="array" ref="O32">SUM((D32:N32)/$O$7*100)</f>
        <v>61.904761904761884</v>
      </c>
      <c r="S32" s="27">
        <v>3</v>
      </c>
      <c r="T32" s="27">
        <v>0</v>
      </c>
      <c r="U32" s="27">
        <v>2</v>
      </c>
      <c r="V32" s="27">
        <v>3</v>
      </c>
      <c r="W32" s="27">
        <v>4</v>
      </c>
      <c r="X32" s="27">
        <v>2</v>
      </c>
      <c r="Y32" s="27">
        <v>3</v>
      </c>
      <c r="Z32" s="27">
        <v>2</v>
      </c>
      <c r="AA32" s="27">
        <v>3</v>
      </c>
      <c r="AB32" s="27">
        <v>3</v>
      </c>
      <c r="AC32" s="27">
        <v>1</v>
      </c>
      <c r="AD32" s="90">
        <f t="shared" si="0"/>
        <v>57.777777777777771</v>
      </c>
    </row>
    <row r="33" spans="1:30" ht="15" thickBot="1" x14ac:dyDescent="0.35">
      <c r="A33" s="8"/>
      <c r="B33" s="9"/>
      <c r="C33" s="32" t="s">
        <v>4</v>
      </c>
      <c r="D33" s="11" t="s">
        <v>5</v>
      </c>
      <c r="E33" s="11" t="s">
        <v>5</v>
      </c>
      <c r="F33" s="12" t="s">
        <v>6</v>
      </c>
      <c r="G33" s="10" t="s">
        <v>6</v>
      </c>
      <c r="H33" s="11" t="s">
        <v>8</v>
      </c>
      <c r="I33" s="11" t="s">
        <v>8</v>
      </c>
      <c r="J33" s="11" t="s">
        <v>9</v>
      </c>
      <c r="K33" s="11" t="s">
        <v>9</v>
      </c>
      <c r="L33" s="11" t="s">
        <v>10</v>
      </c>
      <c r="M33" s="11" t="s">
        <v>11</v>
      </c>
      <c r="N33" s="12" t="s">
        <v>67</v>
      </c>
      <c r="O33" s="33"/>
      <c r="S33" s="11" t="s">
        <v>5</v>
      </c>
      <c r="T33" s="11" t="s">
        <v>5</v>
      </c>
      <c r="U33" s="12" t="s">
        <v>6</v>
      </c>
      <c r="V33" s="10" t="s">
        <v>6</v>
      </c>
      <c r="W33" s="11" t="s">
        <v>8</v>
      </c>
      <c r="X33" s="11" t="s">
        <v>8</v>
      </c>
      <c r="Y33" s="11" t="s">
        <v>9</v>
      </c>
      <c r="Z33" s="11" t="s">
        <v>9</v>
      </c>
      <c r="AA33" s="11" t="s">
        <v>10</v>
      </c>
      <c r="AB33" s="11" t="s">
        <v>11</v>
      </c>
      <c r="AC33" s="12" t="s">
        <v>67</v>
      </c>
      <c r="AD33" s="33"/>
    </row>
    <row r="34" spans="1:30" ht="15" thickBot="1" x14ac:dyDescent="0.35">
      <c r="A34" s="15"/>
      <c r="B34" s="34" t="s">
        <v>68</v>
      </c>
      <c r="C34" s="35" t="s">
        <v>14</v>
      </c>
      <c r="D34" s="18">
        <v>6</v>
      </c>
      <c r="E34" s="18">
        <v>1</v>
      </c>
      <c r="F34" s="18">
        <v>5</v>
      </c>
      <c r="G34" s="18">
        <v>0</v>
      </c>
      <c r="H34" s="18">
        <v>6</v>
      </c>
      <c r="I34" s="18">
        <v>3</v>
      </c>
      <c r="J34" s="18">
        <v>5</v>
      </c>
      <c r="K34" s="18">
        <v>2</v>
      </c>
      <c r="L34" s="18">
        <v>4</v>
      </c>
      <c r="M34" s="18">
        <v>5</v>
      </c>
      <c r="N34" s="18">
        <v>3</v>
      </c>
      <c r="O34" s="19">
        <v>40</v>
      </c>
      <c r="S34" s="18">
        <v>6</v>
      </c>
      <c r="T34" s="18">
        <v>1</v>
      </c>
      <c r="U34" s="18">
        <v>5</v>
      </c>
      <c r="V34" s="18">
        <v>0</v>
      </c>
      <c r="W34" s="18">
        <v>5</v>
      </c>
      <c r="X34" s="18">
        <v>3</v>
      </c>
      <c r="Y34" s="18">
        <v>5</v>
      </c>
      <c r="Z34" s="18">
        <v>2</v>
      </c>
      <c r="AA34" s="18">
        <v>6</v>
      </c>
      <c r="AB34" s="18">
        <v>5</v>
      </c>
      <c r="AC34" s="18">
        <v>3</v>
      </c>
      <c r="AD34" s="19">
        <v>41</v>
      </c>
    </row>
    <row r="35" spans="1:30" ht="15" thickBot="1" x14ac:dyDescent="0.35">
      <c r="A35" s="94">
        <v>126</v>
      </c>
      <c r="B35" s="95" t="s">
        <v>106</v>
      </c>
      <c r="C35" s="95" t="s">
        <v>107</v>
      </c>
      <c r="D35" s="18">
        <v>2</v>
      </c>
      <c r="E35" s="18">
        <v>1</v>
      </c>
      <c r="F35" s="18">
        <v>3</v>
      </c>
      <c r="G35" s="18">
        <v>0</v>
      </c>
      <c r="H35" s="18">
        <v>3</v>
      </c>
      <c r="I35" s="18">
        <v>1</v>
      </c>
      <c r="J35" s="18">
        <v>3</v>
      </c>
      <c r="K35" s="18">
        <v>2</v>
      </c>
      <c r="L35" s="18">
        <v>2</v>
      </c>
      <c r="M35" s="18">
        <v>3</v>
      </c>
      <c r="N35" s="18">
        <v>2</v>
      </c>
      <c r="O35" s="29">
        <f>SUM(D35:N35)/$O$34*100</f>
        <v>55.000000000000007</v>
      </c>
      <c r="S35" s="18">
        <v>2</v>
      </c>
      <c r="T35" s="18">
        <v>1</v>
      </c>
      <c r="U35" s="18">
        <v>3</v>
      </c>
      <c r="V35" s="18">
        <v>0</v>
      </c>
      <c r="W35" s="18">
        <v>3</v>
      </c>
      <c r="X35" s="18">
        <v>1</v>
      </c>
      <c r="Y35" s="18">
        <v>3</v>
      </c>
      <c r="Z35" s="18">
        <v>2</v>
      </c>
      <c r="AA35" s="18">
        <v>2</v>
      </c>
      <c r="AB35" s="18">
        <v>3</v>
      </c>
      <c r="AC35" s="18">
        <v>2</v>
      </c>
      <c r="AD35" s="91">
        <f>(SUM(S35:AC35)/$AD$34*100)</f>
        <v>53.658536585365859</v>
      </c>
    </row>
    <row r="36" spans="1:30" ht="15" thickBot="1" x14ac:dyDescent="0.35">
      <c r="A36" s="94">
        <v>127</v>
      </c>
      <c r="B36" s="95" t="s">
        <v>108</v>
      </c>
      <c r="C36" s="95" t="s">
        <v>109</v>
      </c>
      <c r="D36" s="18">
        <v>2</v>
      </c>
      <c r="E36" s="18">
        <v>1</v>
      </c>
      <c r="F36" s="18">
        <v>1</v>
      </c>
      <c r="G36" s="18">
        <v>0</v>
      </c>
      <c r="H36" s="18">
        <v>5</v>
      </c>
      <c r="I36" s="18">
        <v>1</v>
      </c>
      <c r="J36" s="18">
        <v>3</v>
      </c>
      <c r="K36" s="18">
        <v>2</v>
      </c>
      <c r="L36" s="18">
        <v>3</v>
      </c>
      <c r="M36" s="18">
        <v>3</v>
      </c>
      <c r="N36" s="18">
        <v>3</v>
      </c>
      <c r="O36" s="29">
        <f t="shared" ref="O36:O41" si="1">SUM(D36:N36)/$O$34*100</f>
        <v>60</v>
      </c>
      <c r="S36" s="18">
        <v>2</v>
      </c>
      <c r="T36" s="18">
        <v>1</v>
      </c>
      <c r="U36" s="18">
        <v>1</v>
      </c>
      <c r="V36" s="18">
        <v>0</v>
      </c>
      <c r="W36" s="18">
        <v>4</v>
      </c>
      <c r="X36" s="18">
        <v>1</v>
      </c>
      <c r="Y36" s="18">
        <v>3</v>
      </c>
      <c r="Z36" s="18">
        <v>2</v>
      </c>
      <c r="AA36" s="18">
        <v>6</v>
      </c>
      <c r="AB36" s="18">
        <v>3</v>
      </c>
      <c r="AC36" s="18">
        <v>3</v>
      </c>
      <c r="AD36" s="91">
        <f t="shared" ref="AD36:AD41" si="2">(SUM(S36:AC36)/$AD$34*100)</f>
        <v>63.414634146341463</v>
      </c>
    </row>
    <row r="37" spans="1:30" ht="15" thickBot="1" x14ac:dyDescent="0.35">
      <c r="A37" s="94">
        <v>128</v>
      </c>
      <c r="B37" s="95" t="s">
        <v>110</v>
      </c>
      <c r="C37" s="95" t="s">
        <v>111</v>
      </c>
      <c r="D37" s="18">
        <v>3</v>
      </c>
      <c r="E37" s="18">
        <v>1</v>
      </c>
      <c r="F37" s="18">
        <v>4</v>
      </c>
      <c r="G37" s="18">
        <v>0</v>
      </c>
      <c r="H37" s="18">
        <v>5</v>
      </c>
      <c r="I37" s="18">
        <v>3</v>
      </c>
      <c r="J37" s="18">
        <v>4</v>
      </c>
      <c r="K37" s="18">
        <v>2</v>
      </c>
      <c r="L37" s="18">
        <v>3</v>
      </c>
      <c r="M37" s="18">
        <v>4</v>
      </c>
      <c r="N37" s="18">
        <v>3</v>
      </c>
      <c r="O37" s="29">
        <f t="shared" si="1"/>
        <v>80</v>
      </c>
      <c r="S37" s="18">
        <v>3</v>
      </c>
      <c r="T37" s="18">
        <v>1</v>
      </c>
      <c r="U37" s="18">
        <v>4</v>
      </c>
      <c r="V37" s="18">
        <v>0</v>
      </c>
      <c r="W37" s="18">
        <v>5</v>
      </c>
      <c r="X37" s="18">
        <v>3</v>
      </c>
      <c r="Y37" s="18">
        <v>4</v>
      </c>
      <c r="Z37" s="18">
        <v>2</v>
      </c>
      <c r="AA37" s="18">
        <v>3</v>
      </c>
      <c r="AB37" s="18">
        <v>4</v>
      </c>
      <c r="AC37" s="18">
        <v>3</v>
      </c>
      <c r="AD37" s="91">
        <f t="shared" si="2"/>
        <v>78.048780487804876</v>
      </c>
    </row>
    <row r="38" spans="1:30" ht="19.8" customHeight="1" thickBot="1" x14ac:dyDescent="0.35">
      <c r="A38" s="96">
        <v>129</v>
      </c>
      <c r="B38" s="95" t="s">
        <v>112</v>
      </c>
      <c r="C38" s="95" t="s">
        <v>113</v>
      </c>
      <c r="D38" s="27">
        <v>1</v>
      </c>
      <c r="E38" s="27">
        <v>1</v>
      </c>
      <c r="F38" s="27">
        <v>2</v>
      </c>
      <c r="G38" s="27">
        <v>0</v>
      </c>
      <c r="H38" s="27">
        <v>4</v>
      </c>
      <c r="I38" s="27">
        <v>2</v>
      </c>
      <c r="J38" s="27">
        <v>3</v>
      </c>
      <c r="K38" s="27">
        <v>2</v>
      </c>
      <c r="L38" s="27">
        <v>1</v>
      </c>
      <c r="M38" s="27">
        <v>3</v>
      </c>
      <c r="N38" s="27">
        <v>2</v>
      </c>
      <c r="O38" s="29">
        <f t="shared" si="1"/>
        <v>52.5</v>
      </c>
      <c r="S38" s="27">
        <v>1</v>
      </c>
      <c r="T38" s="27">
        <v>1</v>
      </c>
      <c r="U38" s="27">
        <v>2</v>
      </c>
      <c r="V38" s="27">
        <v>0</v>
      </c>
      <c r="W38" s="27">
        <v>5</v>
      </c>
      <c r="X38" s="27">
        <v>2</v>
      </c>
      <c r="Y38" s="27">
        <v>3</v>
      </c>
      <c r="Z38" s="27">
        <v>2</v>
      </c>
      <c r="AA38" s="27">
        <v>1</v>
      </c>
      <c r="AB38" s="27">
        <v>3</v>
      </c>
      <c r="AC38" s="27">
        <v>2</v>
      </c>
      <c r="AD38" s="91">
        <f t="shared" si="2"/>
        <v>53.658536585365859</v>
      </c>
    </row>
    <row r="39" spans="1:30" ht="15" thickBot="1" x14ac:dyDescent="0.35">
      <c r="A39" s="96">
        <v>130</v>
      </c>
      <c r="B39" s="95" t="s">
        <v>114</v>
      </c>
      <c r="C39" s="95" t="s">
        <v>115</v>
      </c>
      <c r="D39" s="27">
        <v>3</v>
      </c>
      <c r="E39" s="27">
        <v>1</v>
      </c>
      <c r="F39" s="27">
        <v>1</v>
      </c>
      <c r="G39" s="27">
        <v>0</v>
      </c>
      <c r="H39" s="27">
        <v>4</v>
      </c>
      <c r="I39" s="27">
        <v>2</v>
      </c>
      <c r="J39" s="27">
        <v>4</v>
      </c>
      <c r="K39" s="27">
        <v>2</v>
      </c>
      <c r="L39" s="27">
        <v>3</v>
      </c>
      <c r="M39" s="27">
        <v>2</v>
      </c>
      <c r="N39" s="27">
        <v>1</v>
      </c>
      <c r="O39" s="29">
        <f t="shared" si="1"/>
        <v>57.499999999999993</v>
      </c>
      <c r="S39" s="27">
        <v>3</v>
      </c>
      <c r="T39" s="27">
        <v>1</v>
      </c>
      <c r="U39" s="27">
        <v>1</v>
      </c>
      <c r="V39" s="27">
        <v>0</v>
      </c>
      <c r="W39" s="27">
        <v>4</v>
      </c>
      <c r="X39" s="27">
        <v>2</v>
      </c>
      <c r="Y39" s="27">
        <v>4</v>
      </c>
      <c r="Z39" s="27">
        <v>2</v>
      </c>
      <c r="AA39" s="27">
        <v>3</v>
      </c>
      <c r="AB39" s="27">
        <v>2</v>
      </c>
      <c r="AC39" s="27">
        <v>1</v>
      </c>
      <c r="AD39" s="91">
        <f t="shared" si="2"/>
        <v>56.09756097560976</v>
      </c>
    </row>
    <row r="40" spans="1:30" ht="15" thickBot="1" x14ac:dyDescent="0.35">
      <c r="A40" s="96">
        <v>131</v>
      </c>
      <c r="B40" s="95" t="s">
        <v>116</v>
      </c>
      <c r="C40" s="95" t="s">
        <v>117</v>
      </c>
      <c r="D40" s="27">
        <v>1</v>
      </c>
      <c r="E40" s="27">
        <v>1</v>
      </c>
      <c r="F40" s="27">
        <v>3</v>
      </c>
      <c r="G40" s="27">
        <v>0</v>
      </c>
      <c r="H40" s="27">
        <v>0</v>
      </c>
      <c r="I40" s="27">
        <v>1</v>
      </c>
      <c r="J40" s="27">
        <v>2</v>
      </c>
      <c r="K40" s="27">
        <v>2</v>
      </c>
      <c r="L40" s="27">
        <v>2</v>
      </c>
      <c r="M40" s="27">
        <v>3</v>
      </c>
      <c r="N40" s="27">
        <v>2</v>
      </c>
      <c r="O40" s="29">
        <f t="shared" si="1"/>
        <v>42.5</v>
      </c>
      <c r="S40" s="27">
        <v>1</v>
      </c>
      <c r="T40" s="27">
        <v>1</v>
      </c>
      <c r="U40" s="27">
        <v>3</v>
      </c>
      <c r="V40" s="27">
        <v>0</v>
      </c>
      <c r="W40" s="27">
        <v>0</v>
      </c>
      <c r="X40" s="27">
        <v>1</v>
      </c>
      <c r="Y40" s="27">
        <v>2</v>
      </c>
      <c r="Z40" s="27">
        <v>2</v>
      </c>
      <c r="AA40" s="27">
        <v>2</v>
      </c>
      <c r="AB40" s="27">
        <v>3</v>
      </c>
      <c r="AC40" s="27">
        <v>2</v>
      </c>
      <c r="AD40" s="91">
        <f t="shared" si="2"/>
        <v>41.463414634146339</v>
      </c>
    </row>
    <row r="41" spans="1:30" ht="15" thickBot="1" x14ac:dyDescent="0.35">
      <c r="A41" s="96">
        <v>132</v>
      </c>
      <c r="B41" s="95" t="s">
        <v>118</v>
      </c>
      <c r="C41" s="95" t="s">
        <v>119</v>
      </c>
      <c r="D41" s="27">
        <v>3</v>
      </c>
      <c r="E41" s="27">
        <v>1</v>
      </c>
      <c r="F41" s="27">
        <v>3</v>
      </c>
      <c r="G41" s="27">
        <v>0</v>
      </c>
      <c r="H41" s="27">
        <v>4</v>
      </c>
      <c r="I41" s="27">
        <v>2</v>
      </c>
      <c r="J41" s="27">
        <v>3</v>
      </c>
      <c r="K41" s="27">
        <v>2</v>
      </c>
      <c r="L41" s="27">
        <v>3</v>
      </c>
      <c r="M41" s="27">
        <v>3</v>
      </c>
      <c r="N41" s="27">
        <v>2</v>
      </c>
      <c r="O41" s="29">
        <f t="shared" si="1"/>
        <v>65</v>
      </c>
      <c r="S41" s="27">
        <v>3</v>
      </c>
      <c r="T41" s="27">
        <v>1</v>
      </c>
      <c r="U41" s="27">
        <v>3</v>
      </c>
      <c r="V41" s="27">
        <v>0</v>
      </c>
      <c r="W41" s="27">
        <v>4</v>
      </c>
      <c r="X41" s="27">
        <v>2</v>
      </c>
      <c r="Y41" s="27">
        <v>3</v>
      </c>
      <c r="Z41" s="27">
        <v>2</v>
      </c>
      <c r="AA41" s="27">
        <v>3</v>
      </c>
      <c r="AB41" s="27">
        <v>3</v>
      </c>
      <c r="AC41" s="27">
        <v>2</v>
      </c>
      <c r="AD41" s="91">
        <f t="shared" si="2"/>
        <v>63.414634146341463</v>
      </c>
    </row>
    <row r="42" spans="1:30" ht="15" thickBot="1" x14ac:dyDescent="0.35">
      <c r="A42" s="36"/>
    </row>
    <row r="43" spans="1:30" ht="15" thickBot="1" x14ac:dyDescent="0.35">
      <c r="A43" s="37"/>
      <c r="B43" s="38"/>
      <c r="C43" s="39" t="s">
        <v>84</v>
      </c>
      <c r="D43" s="79">
        <v>46054</v>
      </c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1"/>
      <c r="S43" s="79">
        <v>46054</v>
      </c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1"/>
    </row>
    <row r="44" spans="1:30" x14ac:dyDescent="0.3">
      <c r="A44" s="40" t="s">
        <v>85</v>
      </c>
      <c r="B44" s="83" t="s">
        <v>87</v>
      </c>
      <c r="C44" s="84" t="s">
        <v>88</v>
      </c>
      <c r="D44" s="62" t="s">
        <v>89</v>
      </c>
      <c r="E44" s="63"/>
      <c r="F44" s="62" t="s">
        <v>90</v>
      </c>
      <c r="G44" s="63"/>
      <c r="H44" s="62" t="s">
        <v>91</v>
      </c>
      <c r="I44" s="63"/>
      <c r="J44" s="66" t="s">
        <v>92</v>
      </c>
      <c r="K44" s="67"/>
      <c r="L44" s="70" t="s">
        <v>93</v>
      </c>
      <c r="M44" s="72" t="s">
        <v>94</v>
      </c>
      <c r="N44" s="58" t="s">
        <v>95</v>
      </c>
      <c r="O44" s="60" t="s">
        <v>96</v>
      </c>
      <c r="S44" s="62" t="s">
        <v>89</v>
      </c>
      <c r="T44" s="63"/>
      <c r="U44" s="62" t="s">
        <v>90</v>
      </c>
      <c r="V44" s="63"/>
      <c r="W44" s="62" t="s">
        <v>91</v>
      </c>
      <c r="X44" s="63"/>
      <c r="Y44" s="66" t="s">
        <v>92</v>
      </c>
      <c r="Z44" s="67"/>
      <c r="AA44" s="70" t="s">
        <v>93</v>
      </c>
      <c r="AB44" s="72" t="s">
        <v>94</v>
      </c>
      <c r="AC44" s="58" t="s">
        <v>95</v>
      </c>
      <c r="AD44" s="60" t="s">
        <v>96</v>
      </c>
    </row>
    <row r="45" spans="1:30" ht="15" thickBot="1" x14ac:dyDescent="0.35">
      <c r="A45" s="41" t="s">
        <v>86</v>
      </c>
      <c r="B45" s="83"/>
      <c r="C45" s="85"/>
      <c r="D45" s="64"/>
      <c r="E45" s="65"/>
      <c r="F45" s="64"/>
      <c r="G45" s="65"/>
      <c r="H45" s="64"/>
      <c r="I45" s="65"/>
      <c r="J45" s="68"/>
      <c r="K45" s="69"/>
      <c r="L45" s="71"/>
      <c r="M45" s="73"/>
      <c r="N45" s="59"/>
      <c r="O45" s="61"/>
      <c r="S45" s="64"/>
      <c r="T45" s="65"/>
      <c r="U45" s="64"/>
      <c r="V45" s="65"/>
      <c r="W45" s="64"/>
      <c r="X45" s="65"/>
      <c r="Y45" s="68"/>
      <c r="Z45" s="69"/>
      <c r="AA45" s="71"/>
      <c r="AB45" s="73"/>
      <c r="AC45" s="59"/>
      <c r="AD45" s="61"/>
    </row>
    <row r="46" spans="1:30" ht="15" thickBot="1" x14ac:dyDescent="0.35">
      <c r="A46" s="2"/>
      <c r="B46" s="3"/>
      <c r="C46" s="17" t="s">
        <v>0</v>
      </c>
      <c r="D46" s="42" t="s">
        <v>1</v>
      </c>
      <c r="E46" s="42" t="s">
        <v>2</v>
      </c>
      <c r="F46" s="42" t="s">
        <v>1</v>
      </c>
      <c r="G46" s="17" t="s">
        <v>2</v>
      </c>
      <c r="H46" s="42" t="s">
        <v>1</v>
      </c>
      <c r="I46" s="43" t="s">
        <v>2</v>
      </c>
      <c r="J46" s="42" t="s">
        <v>1</v>
      </c>
      <c r="K46" s="43" t="s">
        <v>3</v>
      </c>
      <c r="L46" s="43" t="s">
        <v>1</v>
      </c>
      <c r="M46" s="43" t="s">
        <v>1</v>
      </c>
      <c r="N46" s="17" t="s">
        <v>2</v>
      </c>
      <c r="O46" s="44"/>
      <c r="S46" s="42" t="s">
        <v>1</v>
      </c>
      <c r="T46" s="42" t="s">
        <v>2</v>
      </c>
      <c r="U46" s="42" t="s">
        <v>1</v>
      </c>
      <c r="V46" s="17" t="s">
        <v>2</v>
      </c>
      <c r="W46" s="42" t="s">
        <v>1</v>
      </c>
      <c r="X46" s="43" t="s">
        <v>2</v>
      </c>
      <c r="Y46" s="42" t="s">
        <v>1</v>
      </c>
      <c r="Z46" s="43" t="s">
        <v>3</v>
      </c>
      <c r="AA46" s="43" t="s">
        <v>1</v>
      </c>
      <c r="AB46" s="43" t="s">
        <v>1</v>
      </c>
      <c r="AC46" s="17" t="s">
        <v>2</v>
      </c>
      <c r="AD46" s="44"/>
    </row>
    <row r="47" spans="1:30" ht="26.4" customHeight="1" thickBot="1" x14ac:dyDescent="0.35">
      <c r="A47" s="94">
        <v>133</v>
      </c>
      <c r="B47" s="95" t="s">
        <v>120</v>
      </c>
      <c r="C47" s="95" t="s">
        <v>121</v>
      </c>
      <c r="D47" s="18">
        <v>1</v>
      </c>
      <c r="E47" s="18">
        <v>0</v>
      </c>
      <c r="F47" s="18">
        <v>2</v>
      </c>
      <c r="G47" s="18">
        <v>0</v>
      </c>
      <c r="H47" s="18">
        <v>1</v>
      </c>
      <c r="I47" s="18">
        <v>1</v>
      </c>
      <c r="J47" s="18">
        <v>4</v>
      </c>
      <c r="K47" s="18">
        <v>2</v>
      </c>
      <c r="L47" s="18">
        <v>0</v>
      </c>
      <c r="M47" s="18">
        <v>4</v>
      </c>
      <c r="N47" s="18">
        <v>0</v>
      </c>
      <c r="O47" s="28">
        <f>SUM(D47:N47)/$O$34*100</f>
        <v>37.5</v>
      </c>
      <c r="S47" s="18">
        <v>1</v>
      </c>
      <c r="T47" s="18">
        <v>0</v>
      </c>
      <c r="U47" s="18">
        <v>2</v>
      </c>
      <c r="V47" s="18">
        <v>0</v>
      </c>
      <c r="W47" s="18">
        <v>1</v>
      </c>
      <c r="X47" s="18">
        <v>1</v>
      </c>
      <c r="Y47" s="18">
        <v>4</v>
      </c>
      <c r="Z47" s="18">
        <v>2</v>
      </c>
      <c r="AA47" s="18">
        <v>0</v>
      </c>
      <c r="AB47" s="18">
        <v>4</v>
      </c>
      <c r="AC47" s="18">
        <v>0</v>
      </c>
      <c r="AD47" s="92" cm="1">
        <f t="array" ref="AD47">SUM((S47:AC47)/$AD$34*100)</f>
        <v>36.585365853658537</v>
      </c>
    </row>
    <row r="48" spans="1:30" ht="15" thickBot="1" x14ac:dyDescent="0.35">
      <c r="A48" s="94">
        <v>134</v>
      </c>
      <c r="B48" s="95" t="s">
        <v>123</v>
      </c>
      <c r="C48" s="95" t="s">
        <v>124</v>
      </c>
      <c r="D48" s="18">
        <v>3</v>
      </c>
      <c r="E48" s="18">
        <v>0</v>
      </c>
      <c r="F48" s="18">
        <v>4</v>
      </c>
      <c r="G48" s="18">
        <v>0</v>
      </c>
      <c r="H48" s="18">
        <v>3</v>
      </c>
      <c r="I48" s="18">
        <v>3</v>
      </c>
      <c r="J48" s="18">
        <v>3</v>
      </c>
      <c r="K48" s="18">
        <v>2</v>
      </c>
      <c r="L48" s="18">
        <v>2</v>
      </c>
      <c r="M48" s="18">
        <v>4</v>
      </c>
      <c r="N48" s="18">
        <v>1</v>
      </c>
      <c r="O48" s="28">
        <f t="shared" ref="O48:O64" si="3">SUM(D48:N48)/$O$34*100</f>
        <v>62.5</v>
      </c>
      <c r="S48" s="18">
        <v>3</v>
      </c>
      <c r="T48" s="18">
        <v>0</v>
      </c>
      <c r="U48" s="18">
        <v>4</v>
      </c>
      <c r="V48" s="18">
        <v>0</v>
      </c>
      <c r="W48" s="18">
        <v>3</v>
      </c>
      <c r="X48" s="18">
        <v>3</v>
      </c>
      <c r="Y48" s="18">
        <v>3</v>
      </c>
      <c r="Z48" s="18">
        <v>2</v>
      </c>
      <c r="AA48" s="18">
        <v>2</v>
      </c>
      <c r="AB48" s="18">
        <v>4</v>
      </c>
      <c r="AC48" s="18">
        <v>1</v>
      </c>
      <c r="AD48" s="92" cm="1">
        <f t="array" ref="AD48">SUM((S48:AC48)/$AD$34*100)</f>
        <v>60.975609756097548</v>
      </c>
    </row>
    <row r="49" spans="1:30" ht="15" thickBot="1" x14ac:dyDescent="0.35">
      <c r="A49" s="94">
        <v>135</v>
      </c>
      <c r="B49" s="95" t="s">
        <v>125</v>
      </c>
      <c r="C49" s="95" t="s">
        <v>126</v>
      </c>
      <c r="D49" s="18">
        <v>2</v>
      </c>
      <c r="E49" s="18">
        <v>1</v>
      </c>
      <c r="F49" s="18">
        <v>3</v>
      </c>
      <c r="G49" s="18">
        <v>0</v>
      </c>
      <c r="H49" s="18">
        <v>3</v>
      </c>
      <c r="I49" s="18">
        <v>1</v>
      </c>
      <c r="J49" s="18">
        <v>3</v>
      </c>
      <c r="K49" s="18">
        <v>2</v>
      </c>
      <c r="L49" s="18">
        <v>3</v>
      </c>
      <c r="M49" s="18">
        <v>3</v>
      </c>
      <c r="N49" s="18">
        <v>2</v>
      </c>
      <c r="O49" s="28">
        <f t="shared" si="3"/>
        <v>57.499999999999993</v>
      </c>
      <c r="S49" s="18">
        <v>2</v>
      </c>
      <c r="T49" s="18">
        <v>1</v>
      </c>
      <c r="U49" s="18">
        <v>3</v>
      </c>
      <c r="V49" s="18">
        <v>0</v>
      </c>
      <c r="W49" s="18">
        <v>3</v>
      </c>
      <c r="X49" s="18">
        <v>1</v>
      </c>
      <c r="Y49" s="18">
        <v>3</v>
      </c>
      <c r="Z49" s="18">
        <v>2</v>
      </c>
      <c r="AA49" s="18">
        <v>3</v>
      </c>
      <c r="AB49" s="18">
        <v>3</v>
      </c>
      <c r="AC49" s="18">
        <v>2</v>
      </c>
      <c r="AD49" s="92" cm="1">
        <f t="array" ref="AD49">SUM((S49:AC49)/$AD$34*100)</f>
        <v>56.097560975609738</v>
      </c>
    </row>
    <row r="50" spans="1:30" ht="15" thickBot="1" x14ac:dyDescent="0.35">
      <c r="A50" s="94">
        <v>136</v>
      </c>
      <c r="B50" s="95" t="s">
        <v>127</v>
      </c>
      <c r="C50" s="95" t="s">
        <v>128</v>
      </c>
      <c r="D50" s="18">
        <v>1</v>
      </c>
      <c r="E50" s="18">
        <v>0</v>
      </c>
      <c r="F50" s="18">
        <v>1</v>
      </c>
      <c r="G50" s="18">
        <v>0</v>
      </c>
      <c r="H50" s="18">
        <v>3</v>
      </c>
      <c r="I50" s="18">
        <v>2</v>
      </c>
      <c r="J50" s="18">
        <v>1</v>
      </c>
      <c r="K50" s="18">
        <v>2</v>
      </c>
      <c r="L50" s="18">
        <v>3</v>
      </c>
      <c r="M50" s="18">
        <v>3</v>
      </c>
      <c r="N50" s="18">
        <v>0</v>
      </c>
      <c r="O50" s="28">
        <f t="shared" si="3"/>
        <v>40</v>
      </c>
      <c r="S50" s="18">
        <v>1</v>
      </c>
      <c r="T50" s="18">
        <v>0</v>
      </c>
      <c r="U50" s="18">
        <v>1</v>
      </c>
      <c r="V50" s="18">
        <v>0</v>
      </c>
      <c r="W50" s="18">
        <v>3</v>
      </c>
      <c r="X50" s="18">
        <v>2</v>
      </c>
      <c r="Y50" s="18">
        <v>1</v>
      </c>
      <c r="Z50" s="18">
        <v>2</v>
      </c>
      <c r="AA50" s="18">
        <v>3</v>
      </c>
      <c r="AB50" s="18">
        <v>3</v>
      </c>
      <c r="AC50" s="18">
        <v>0</v>
      </c>
      <c r="AD50" s="92" cm="1">
        <f t="array" ref="AD50">SUM((S50:AC50)/$AD$34*100)</f>
        <v>39.024390243902438</v>
      </c>
    </row>
    <row r="51" spans="1:30" ht="15" thickBot="1" x14ac:dyDescent="0.35">
      <c r="A51" s="95">
        <v>137</v>
      </c>
      <c r="B51" s="95" t="s">
        <v>129</v>
      </c>
      <c r="C51" s="95" t="s">
        <v>130</v>
      </c>
      <c r="D51" s="18">
        <v>1</v>
      </c>
      <c r="E51" s="18">
        <v>1</v>
      </c>
      <c r="F51" s="18">
        <v>0</v>
      </c>
      <c r="G51" s="18">
        <v>0</v>
      </c>
      <c r="H51" s="18">
        <v>3</v>
      </c>
      <c r="I51" s="18">
        <v>1</v>
      </c>
      <c r="J51" s="18">
        <v>2</v>
      </c>
      <c r="K51" s="18">
        <v>2</v>
      </c>
      <c r="L51" s="18">
        <v>1</v>
      </c>
      <c r="M51" s="18">
        <v>2</v>
      </c>
      <c r="N51" s="18">
        <v>3</v>
      </c>
      <c r="O51" s="28">
        <f t="shared" si="3"/>
        <v>40</v>
      </c>
      <c r="S51" s="18">
        <v>1</v>
      </c>
      <c r="T51" s="18">
        <v>1</v>
      </c>
      <c r="U51" s="18">
        <v>0</v>
      </c>
      <c r="V51" s="18">
        <v>0</v>
      </c>
      <c r="W51" s="18">
        <v>3</v>
      </c>
      <c r="X51" s="18">
        <v>1</v>
      </c>
      <c r="Y51" s="18">
        <v>2</v>
      </c>
      <c r="Z51" s="18">
        <v>2</v>
      </c>
      <c r="AA51" s="18">
        <v>1</v>
      </c>
      <c r="AB51" s="18">
        <v>2</v>
      </c>
      <c r="AC51" s="18">
        <v>3</v>
      </c>
      <c r="AD51" s="92" cm="1">
        <f t="array" ref="AD51">SUM((S51:AC51)/$AD$34*100)</f>
        <v>39.024390243902438</v>
      </c>
    </row>
    <row r="52" spans="1:30" ht="15" thickBot="1" x14ac:dyDescent="0.35">
      <c r="A52" s="95">
        <v>138</v>
      </c>
      <c r="B52" s="95" t="s">
        <v>131</v>
      </c>
      <c r="C52" s="95" t="s">
        <v>132</v>
      </c>
      <c r="D52" s="18">
        <v>3</v>
      </c>
      <c r="E52" s="18">
        <v>1</v>
      </c>
      <c r="F52" s="18">
        <v>3</v>
      </c>
      <c r="G52" s="18">
        <v>0</v>
      </c>
      <c r="H52" s="18">
        <v>5</v>
      </c>
      <c r="I52" s="18">
        <v>3</v>
      </c>
      <c r="J52" s="18">
        <v>5</v>
      </c>
      <c r="K52" s="18">
        <v>2</v>
      </c>
      <c r="L52" s="18">
        <v>3</v>
      </c>
      <c r="M52" s="18">
        <v>4</v>
      </c>
      <c r="N52" s="18">
        <v>3</v>
      </c>
      <c r="O52" s="28">
        <f t="shared" si="3"/>
        <v>80</v>
      </c>
      <c r="S52" s="18">
        <v>3</v>
      </c>
      <c r="T52" s="18">
        <v>1</v>
      </c>
      <c r="U52" s="18">
        <v>3</v>
      </c>
      <c r="V52" s="18">
        <v>0</v>
      </c>
      <c r="W52" s="18">
        <v>5</v>
      </c>
      <c r="X52" s="18">
        <v>3</v>
      </c>
      <c r="Y52" s="18">
        <v>5</v>
      </c>
      <c r="Z52" s="18">
        <v>2</v>
      </c>
      <c r="AA52" s="18">
        <v>3</v>
      </c>
      <c r="AB52" s="18">
        <v>4</v>
      </c>
      <c r="AC52" s="18">
        <v>3</v>
      </c>
      <c r="AD52" s="92" cm="1">
        <f t="array" ref="AD52">SUM((S52:AC52)/$AD$34*100)</f>
        <v>78.048780487804862</v>
      </c>
    </row>
    <row r="53" spans="1:30" ht="15" thickBot="1" x14ac:dyDescent="0.35">
      <c r="A53" s="95">
        <v>139</v>
      </c>
      <c r="B53" s="95" t="s">
        <v>133</v>
      </c>
      <c r="C53" s="95" t="s">
        <v>134</v>
      </c>
      <c r="D53" s="18">
        <v>3</v>
      </c>
      <c r="E53" s="18">
        <v>1</v>
      </c>
      <c r="F53" s="18">
        <v>2</v>
      </c>
      <c r="G53" s="18">
        <v>0</v>
      </c>
      <c r="H53" s="18">
        <v>5</v>
      </c>
      <c r="I53" s="18">
        <v>3</v>
      </c>
      <c r="J53" s="18">
        <v>4</v>
      </c>
      <c r="K53" s="18">
        <v>2</v>
      </c>
      <c r="L53" s="18">
        <v>3</v>
      </c>
      <c r="M53" s="18">
        <v>4</v>
      </c>
      <c r="N53" s="18">
        <v>3</v>
      </c>
      <c r="O53" s="28">
        <f t="shared" si="3"/>
        <v>75</v>
      </c>
      <c r="S53" s="18">
        <v>3</v>
      </c>
      <c r="T53" s="18">
        <v>1</v>
      </c>
      <c r="U53" s="18">
        <v>2</v>
      </c>
      <c r="V53" s="18">
        <v>0</v>
      </c>
      <c r="W53" s="18">
        <v>5</v>
      </c>
      <c r="X53" s="18">
        <v>3</v>
      </c>
      <c r="Y53" s="18">
        <v>4</v>
      </c>
      <c r="Z53" s="18">
        <v>2</v>
      </c>
      <c r="AA53" s="18">
        <v>3</v>
      </c>
      <c r="AB53" s="18">
        <v>4</v>
      </c>
      <c r="AC53" s="18">
        <v>3</v>
      </c>
      <c r="AD53" s="92" cm="1">
        <f t="array" ref="AD53">SUM((S53:AC53)/$AD$34*100)</f>
        <v>73.17073170731706</v>
      </c>
    </row>
    <row r="54" spans="1:30" ht="15" thickBot="1" x14ac:dyDescent="0.35">
      <c r="A54" s="95">
        <v>140</v>
      </c>
      <c r="B54" s="95" t="s">
        <v>138</v>
      </c>
      <c r="C54" s="95" t="s">
        <v>139</v>
      </c>
      <c r="D54" s="27">
        <v>1</v>
      </c>
      <c r="E54" s="27">
        <v>1</v>
      </c>
      <c r="F54" s="27">
        <v>2</v>
      </c>
      <c r="G54" s="27">
        <v>0</v>
      </c>
      <c r="H54" s="27">
        <v>1</v>
      </c>
      <c r="I54" s="27">
        <v>2</v>
      </c>
      <c r="J54" s="27">
        <v>2</v>
      </c>
      <c r="K54" s="27">
        <v>2</v>
      </c>
      <c r="L54" s="27">
        <v>1</v>
      </c>
      <c r="M54" s="27">
        <v>3</v>
      </c>
      <c r="N54" s="27">
        <v>3</v>
      </c>
      <c r="O54" s="28">
        <f t="shared" si="3"/>
        <v>45</v>
      </c>
      <c r="S54" s="27">
        <v>1</v>
      </c>
      <c r="T54" s="27">
        <v>1</v>
      </c>
      <c r="U54" s="27">
        <v>2</v>
      </c>
      <c r="V54" s="27">
        <v>0</v>
      </c>
      <c r="W54" s="27">
        <v>1</v>
      </c>
      <c r="X54" s="27">
        <v>2</v>
      </c>
      <c r="Y54" s="27">
        <v>2</v>
      </c>
      <c r="Z54" s="27">
        <v>2</v>
      </c>
      <c r="AA54" s="27">
        <v>1</v>
      </c>
      <c r="AB54" s="27">
        <v>3</v>
      </c>
      <c r="AC54" s="27">
        <v>3</v>
      </c>
      <c r="AD54" s="92" cm="1">
        <f t="array" ref="AD54">SUM((S54:AC54)/$AD$34*100)</f>
        <v>43.902439024390247</v>
      </c>
    </row>
    <row r="55" spans="1:30" ht="15" thickBot="1" x14ac:dyDescent="0.35">
      <c r="A55" s="95">
        <v>141</v>
      </c>
      <c r="B55" s="95" t="s">
        <v>140</v>
      </c>
      <c r="C55" s="95" t="s">
        <v>141</v>
      </c>
      <c r="D55" s="18">
        <v>4</v>
      </c>
      <c r="E55" s="18">
        <v>1</v>
      </c>
      <c r="F55" s="18">
        <v>4</v>
      </c>
      <c r="G55" s="18">
        <v>0</v>
      </c>
      <c r="H55" s="18">
        <v>5</v>
      </c>
      <c r="I55" s="18">
        <v>3</v>
      </c>
      <c r="J55" s="18">
        <v>4</v>
      </c>
      <c r="K55" s="18">
        <v>2</v>
      </c>
      <c r="L55" s="18">
        <v>3</v>
      </c>
      <c r="M55" s="18">
        <v>4</v>
      </c>
      <c r="N55" s="18">
        <v>3</v>
      </c>
      <c r="O55" s="28">
        <f t="shared" si="3"/>
        <v>82.5</v>
      </c>
      <c r="S55" s="18">
        <v>4</v>
      </c>
      <c r="T55" s="18">
        <v>1</v>
      </c>
      <c r="U55" s="18">
        <v>4</v>
      </c>
      <c r="V55" s="18">
        <v>0</v>
      </c>
      <c r="W55" s="18">
        <v>5</v>
      </c>
      <c r="X55" s="18">
        <v>3</v>
      </c>
      <c r="Y55" s="18">
        <v>4</v>
      </c>
      <c r="Z55" s="18">
        <v>2</v>
      </c>
      <c r="AA55" s="18">
        <v>3</v>
      </c>
      <c r="AB55" s="18">
        <v>4</v>
      </c>
      <c r="AC55" s="18">
        <v>3</v>
      </c>
      <c r="AD55" s="92" cm="1">
        <f t="array" ref="AD55">SUM((S55:AC55)/$AD$34*100)</f>
        <v>80.487804878048777</v>
      </c>
    </row>
    <row r="56" spans="1:30" ht="15" thickBot="1" x14ac:dyDescent="0.35">
      <c r="A56" s="95">
        <v>142</v>
      </c>
      <c r="B56" s="95" t="s">
        <v>142</v>
      </c>
      <c r="C56" s="95" t="s">
        <v>143</v>
      </c>
      <c r="D56" s="27">
        <v>1</v>
      </c>
      <c r="E56" s="27">
        <v>0</v>
      </c>
      <c r="F56" s="27">
        <v>2</v>
      </c>
      <c r="G56" s="27">
        <v>0</v>
      </c>
      <c r="H56" s="27">
        <v>3</v>
      </c>
      <c r="I56" s="27">
        <v>1</v>
      </c>
      <c r="J56" s="27">
        <v>0</v>
      </c>
      <c r="K56" s="27">
        <v>0</v>
      </c>
      <c r="L56" s="27">
        <v>2</v>
      </c>
      <c r="M56" s="27">
        <v>2</v>
      </c>
      <c r="N56" s="27">
        <v>1</v>
      </c>
      <c r="O56" s="28">
        <f t="shared" si="3"/>
        <v>30</v>
      </c>
      <c r="S56" s="27">
        <v>1</v>
      </c>
      <c r="T56" s="27">
        <v>0</v>
      </c>
      <c r="U56" s="27">
        <v>2</v>
      </c>
      <c r="V56" s="27">
        <v>0</v>
      </c>
      <c r="W56" s="27">
        <v>3</v>
      </c>
      <c r="X56" s="27">
        <v>1</v>
      </c>
      <c r="Y56" s="27">
        <v>0</v>
      </c>
      <c r="Z56" s="27">
        <v>0</v>
      </c>
      <c r="AA56" s="27">
        <v>2</v>
      </c>
      <c r="AB56" s="27">
        <v>2</v>
      </c>
      <c r="AC56" s="27">
        <v>1</v>
      </c>
      <c r="AD56" s="92" cm="1">
        <f t="array" ref="AD56">SUM((S56:AC56)/$AD$34*100)</f>
        <v>29.268292682926827</v>
      </c>
    </row>
    <row r="57" spans="1:30" ht="15" thickBot="1" x14ac:dyDescent="0.35">
      <c r="A57" s="95">
        <v>143</v>
      </c>
      <c r="B57" s="95" t="s">
        <v>144</v>
      </c>
      <c r="C57" s="95" t="s">
        <v>145</v>
      </c>
      <c r="D57" s="18">
        <v>3</v>
      </c>
      <c r="E57" s="18">
        <v>1</v>
      </c>
      <c r="F57" s="18">
        <v>5</v>
      </c>
      <c r="G57" s="18">
        <v>0</v>
      </c>
      <c r="H57" s="18">
        <v>5</v>
      </c>
      <c r="I57" s="18">
        <v>3</v>
      </c>
      <c r="J57" s="18">
        <v>5</v>
      </c>
      <c r="K57" s="18">
        <v>2</v>
      </c>
      <c r="L57" s="18">
        <v>2</v>
      </c>
      <c r="M57" s="18">
        <v>5</v>
      </c>
      <c r="N57" s="18">
        <v>1</v>
      </c>
      <c r="O57" s="28">
        <f t="shared" si="3"/>
        <v>80</v>
      </c>
      <c r="S57" s="18">
        <v>3</v>
      </c>
      <c r="T57" s="18">
        <v>1</v>
      </c>
      <c r="U57" s="18">
        <v>5</v>
      </c>
      <c r="V57" s="18">
        <v>0</v>
      </c>
      <c r="W57" s="18">
        <v>5</v>
      </c>
      <c r="X57" s="18">
        <v>3</v>
      </c>
      <c r="Y57" s="18">
        <v>5</v>
      </c>
      <c r="Z57" s="18">
        <v>2</v>
      </c>
      <c r="AA57" s="18">
        <v>2</v>
      </c>
      <c r="AB57" s="18">
        <v>5</v>
      </c>
      <c r="AC57" s="18">
        <v>1</v>
      </c>
      <c r="AD57" s="92" cm="1">
        <f t="array" ref="AD57">SUM((S57:AC57)/$AD$34*100)</f>
        <v>78.048780487804876</v>
      </c>
    </row>
    <row r="58" spans="1:30" ht="28.2" customHeight="1" thickBot="1" x14ac:dyDescent="0.35">
      <c r="A58" s="95">
        <v>144</v>
      </c>
      <c r="B58" s="95" t="s">
        <v>146</v>
      </c>
      <c r="C58" s="95" t="s">
        <v>147</v>
      </c>
      <c r="D58" s="27">
        <v>2</v>
      </c>
      <c r="E58" s="27">
        <v>1</v>
      </c>
      <c r="F58" s="27">
        <v>2</v>
      </c>
      <c r="G58" s="27">
        <v>0</v>
      </c>
      <c r="H58" s="27">
        <v>5</v>
      </c>
      <c r="I58" s="27">
        <v>3</v>
      </c>
      <c r="J58" s="27">
        <v>3</v>
      </c>
      <c r="K58" s="27">
        <v>2</v>
      </c>
      <c r="L58" s="27">
        <v>2</v>
      </c>
      <c r="M58" s="27">
        <v>4</v>
      </c>
      <c r="N58" s="27">
        <v>0</v>
      </c>
      <c r="O58" s="28">
        <f t="shared" si="3"/>
        <v>60</v>
      </c>
      <c r="S58" s="27">
        <v>2</v>
      </c>
      <c r="T58" s="27">
        <v>1</v>
      </c>
      <c r="U58" s="27">
        <v>2</v>
      </c>
      <c r="V58" s="27">
        <v>0</v>
      </c>
      <c r="W58" s="27">
        <v>5</v>
      </c>
      <c r="X58" s="27">
        <v>3</v>
      </c>
      <c r="Y58" s="27">
        <v>3</v>
      </c>
      <c r="Z58" s="27">
        <v>2</v>
      </c>
      <c r="AA58" s="27">
        <v>2</v>
      </c>
      <c r="AB58" s="27">
        <v>4</v>
      </c>
      <c r="AC58" s="27">
        <v>0</v>
      </c>
      <c r="AD58" s="92" cm="1">
        <f t="array" ref="AD58">SUM((S58:AC58)/$AD$34*100)</f>
        <v>58.536585365853654</v>
      </c>
    </row>
    <row r="59" spans="1:30" ht="15" thickBot="1" x14ac:dyDescent="0.35">
      <c r="A59" s="95">
        <v>145</v>
      </c>
      <c r="B59" s="95" t="s">
        <v>148</v>
      </c>
      <c r="C59" s="95" t="s">
        <v>149</v>
      </c>
      <c r="D59" s="27">
        <v>0</v>
      </c>
      <c r="E59" s="27">
        <v>0</v>
      </c>
      <c r="F59" s="27">
        <v>3</v>
      </c>
      <c r="G59" s="27">
        <v>0</v>
      </c>
      <c r="H59" s="27">
        <v>3</v>
      </c>
      <c r="I59" s="27">
        <v>2</v>
      </c>
      <c r="J59" s="27">
        <v>2</v>
      </c>
      <c r="K59" s="27">
        <v>2</v>
      </c>
      <c r="L59" s="27">
        <v>0</v>
      </c>
      <c r="M59" s="27">
        <v>2</v>
      </c>
      <c r="N59" s="27">
        <v>2</v>
      </c>
      <c r="O59" s="28">
        <f t="shared" si="3"/>
        <v>40</v>
      </c>
      <c r="S59" s="27">
        <v>0</v>
      </c>
      <c r="T59" s="27">
        <v>0</v>
      </c>
      <c r="U59" s="27">
        <v>3</v>
      </c>
      <c r="V59" s="27">
        <v>0</v>
      </c>
      <c r="W59" s="27">
        <v>3</v>
      </c>
      <c r="X59" s="27">
        <v>2</v>
      </c>
      <c r="Y59" s="27">
        <v>2</v>
      </c>
      <c r="Z59" s="27">
        <v>2</v>
      </c>
      <c r="AA59" s="27">
        <v>0</v>
      </c>
      <c r="AB59" s="27">
        <v>2</v>
      </c>
      <c r="AC59" s="27">
        <v>2</v>
      </c>
      <c r="AD59" s="92" cm="1">
        <f t="array" ref="AD59">SUM((S59:AC59)/$AD$34*100)</f>
        <v>39.024390243902438</v>
      </c>
    </row>
    <row r="60" spans="1:30" ht="15" thickBot="1" x14ac:dyDescent="0.35">
      <c r="A60" s="95">
        <v>146</v>
      </c>
      <c r="B60" s="95" t="s">
        <v>150</v>
      </c>
      <c r="C60" s="95" t="s">
        <v>151</v>
      </c>
      <c r="D60" s="27">
        <v>2</v>
      </c>
      <c r="E60" s="27">
        <v>1</v>
      </c>
      <c r="F60" s="27">
        <v>3</v>
      </c>
      <c r="G60" s="27">
        <v>0</v>
      </c>
      <c r="H60" s="27">
        <v>3</v>
      </c>
      <c r="I60" s="27">
        <v>2</v>
      </c>
      <c r="J60" s="27">
        <v>5</v>
      </c>
      <c r="K60" s="27">
        <v>2</v>
      </c>
      <c r="L60" s="27">
        <v>3</v>
      </c>
      <c r="M60" s="27">
        <v>4</v>
      </c>
      <c r="N60" s="27">
        <v>1</v>
      </c>
      <c r="O60" s="28">
        <f t="shared" si="3"/>
        <v>65</v>
      </c>
      <c r="S60" s="27">
        <v>2</v>
      </c>
      <c r="T60" s="27">
        <v>1</v>
      </c>
      <c r="U60" s="27">
        <v>3</v>
      </c>
      <c r="V60" s="27">
        <v>0</v>
      </c>
      <c r="W60" s="27">
        <v>3</v>
      </c>
      <c r="X60" s="27">
        <v>2</v>
      </c>
      <c r="Y60" s="27">
        <v>5</v>
      </c>
      <c r="Z60" s="27">
        <v>2</v>
      </c>
      <c r="AA60" s="27">
        <v>3</v>
      </c>
      <c r="AB60" s="27">
        <v>4</v>
      </c>
      <c r="AC60" s="27">
        <v>1</v>
      </c>
      <c r="AD60" s="92" cm="1">
        <f t="array" ref="AD60">SUM((S60:AC60)/$AD$34*100)</f>
        <v>63.414634146341463</v>
      </c>
    </row>
    <row r="61" spans="1:30" ht="15" thickBot="1" x14ac:dyDescent="0.35">
      <c r="A61" s="95">
        <v>147</v>
      </c>
      <c r="B61" s="95" t="s">
        <v>152</v>
      </c>
      <c r="C61" s="95" t="s">
        <v>153</v>
      </c>
      <c r="D61" s="27">
        <v>0</v>
      </c>
      <c r="E61" s="27">
        <v>0</v>
      </c>
      <c r="F61" s="27">
        <v>3</v>
      </c>
      <c r="G61" s="27">
        <v>0</v>
      </c>
      <c r="H61" s="27">
        <v>2</v>
      </c>
      <c r="I61" s="27">
        <v>2</v>
      </c>
      <c r="J61" s="27">
        <v>2</v>
      </c>
      <c r="K61" s="27">
        <v>2</v>
      </c>
      <c r="L61" s="27">
        <v>0</v>
      </c>
      <c r="M61" s="27">
        <v>0</v>
      </c>
      <c r="N61" s="27">
        <v>0</v>
      </c>
      <c r="O61" s="28">
        <f t="shared" si="3"/>
        <v>27.500000000000004</v>
      </c>
      <c r="S61" s="27">
        <v>0</v>
      </c>
      <c r="T61" s="27">
        <v>0</v>
      </c>
      <c r="U61" s="27">
        <v>3</v>
      </c>
      <c r="V61" s="27">
        <v>0</v>
      </c>
      <c r="W61" s="27">
        <v>2</v>
      </c>
      <c r="X61" s="27">
        <v>2</v>
      </c>
      <c r="Y61" s="27">
        <v>2</v>
      </c>
      <c r="Z61" s="27">
        <v>2</v>
      </c>
      <c r="AA61" s="27">
        <v>0</v>
      </c>
      <c r="AB61" s="27">
        <v>0</v>
      </c>
      <c r="AC61" s="27">
        <v>0</v>
      </c>
      <c r="AD61" s="92" cm="1">
        <f t="array" ref="AD61">SUM((S61:AC61)/$AD$34*100)</f>
        <v>26.829268292682929</v>
      </c>
    </row>
    <row r="62" spans="1:30" ht="15" thickBot="1" x14ac:dyDescent="0.35">
      <c r="A62" s="95">
        <v>148</v>
      </c>
      <c r="B62" s="95" t="s">
        <v>154</v>
      </c>
      <c r="C62" s="95" t="s">
        <v>155</v>
      </c>
      <c r="D62" s="27">
        <v>1</v>
      </c>
      <c r="E62" s="27">
        <v>0</v>
      </c>
      <c r="F62" s="27">
        <v>1</v>
      </c>
      <c r="G62" s="27">
        <v>0</v>
      </c>
      <c r="H62" s="27">
        <v>2</v>
      </c>
      <c r="I62" s="27">
        <v>1</v>
      </c>
      <c r="J62" s="27">
        <v>3</v>
      </c>
      <c r="K62" s="27">
        <v>2</v>
      </c>
      <c r="L62" s="27">
        <v>1</v>
      </c>
      <c r="M62" s="27">
        <v>0</v>
      </c>
      <c r="N62" s="27">
        <v>0</v>
      </c>
      <c r="O62" s="28">
        <f t="shared" si="3"/>
        <v>27.500000000000004</v>
      </c>
      <c r="S62" s="27">
        <v>1</v>
      </c>
      <c r="T62" s="27">
        <v>0</v>
      </c>
      <c r="U62" s="27">
        <v>1</v>
      </c>
      <c r="V62" s="27">
        <v>0</v>
      </c>
      <c r="W62" s="27">
        <v>2</v>
      </c>
      <c r="X62" s="27">
        <v>1</v>
      </c>
      <c r="Y62" s="27">
        <v>3</v>
      </c>
      <c r="Z62" s="27">
        <v>2</v>
      </c>
      <c r="AA62" s="27">
        <v>1</v>
      </c>
      <c r="AB62" s="27">
        <v>0</v>
      </c>
      <c r="AC62" s="27">
        <v>0</v>
      </c>
      <c r="AD62" s="92" cm="1">
        <f t="array" ref="AD62">SUM((S62:AC62)/$AD$34*100)</f>
        <v>26.829268292682926</v>
      </c>
    </row>
    <row r="63" spans="1:30" ht="15" thickBot="1" x14ac:dyDescent="0.35">
      <c r="A63" s="95">
        <v>149</v>
      </c>
      <c r="B63" s="95" t="s">
        <v>156</v>
      </c>
      <c r="C63" s="95" t="s">
        <v>157</v>
      </c>
      <c r="D63" s="27">
        <v>0</v>
      </c>
      <c r="E63" s="27">
        <v>0</v>
      </c>
      <c r="F63" s="27">
        <v>1</v>
      </c>
      <c r="G63" s="27">
        <v>0</v>
      </c>
      <c r="H63" s="27">
        <v>3</v>
      </c>
      <c r="I63" s="27">
        <v>2</v>
      </c>
      <c r="J63" s="27">
        <v>2</v>
      </c>
      <c r="K63" s="27">
        <v>2</v>
      </c>
      <c r="L63" s="27">
        <v>0</v>
      </c>
      <c r="M63" s="27">
        <v>3</v>
      </c>
      <c r="N63" s="27">
        <v>1</v>
      </c>
      <c r="O63" s="28">
        <f t="shared" si="3"/>
        <v>35</v>
      </c>
      <c r="S63" s="27">
        <v>0</v>
      </c>
      <c r="T63" s="27">
        <v>0</v>
      </c>
      <c r="U63" s="27">
        <v>1</v>
      </c>
      <c r="V63" s="27">
        <v>0</v>
      </c>
      <c r="W63" s="27">
        <v>3</v>
      </c>
      <c r="X63" s="27">
        <v>2</v>
      </c>
      <c r="Y63" s="27">
        <v>2</v>
      </c>
      <c r="Z63" s="27">
        <v>2</v>
      </c>
      <c r="AA63" s="27">
        <v>0</v>
      </c>
      <c r="AB63" s="27">
        <v>3</v>
      </c>
      <c r="AC63" s="27">
        <v>1</v>
      </c>
      <c r="AD63" s="92" cm="1">
        <f t="array" ref="AD63">SUM((S63:AC63)/$AD$34*100)</f>
        <v>34.146341463414636</v>
      </c>
    </row>
    <row r="64" spans="1:30" ht="15" thickBot="1" x14ac:dyDescent="0.35">
      <c r="A64" s="95">
        <v>150</v>
      </c>
      <c r="B64" s="95" t="s">
        <v>158</v>
      </c>
      <c r="C64" s="95" t="s">
        <v>159</v>
      </c>
      <c r="D64" s="27">
        <v>2</v>
      </c>
      <c r="E64" s="27">
        <v>1</v>
      </c>
      <c r="F64" s="27">
        <v>1</v>
      </c>
      <c r="G64" s="27">
        <v>0</v>
      </c>
      <c r="H64" s="27">
        <v>4</v>
      </c>
      <c r="I64" s="27">
        <v>2</v>
      </c>
      <c r="J64" s="27">
        <v>3</v>
      </c>
      <c r="K64" s="27">
        <v>2</v>
      </c>
      <c r="L64" s="27">
        <v>1</v>
      </c>
      <c r="M64" s="27">
        <v>2</v>
      </c>
      <c r="N64" s="27">
        <v>1</v>
      </c>
      <c r="O64" s="28">
        <f t="shared" si="3"/>
        <v>47.5</v>
      </c>
      <c r="S64" s="27">
        <v>2</v>
      </c>
      <c r="T64" s="27">
        <v>1</v>
      </c>
      <c r="U64" s="27">
        <v>1</v>
      </c>
      <c r="V64" s="27">
        <v>0</v>
      </c>
      <c r="W64" s="27">
        <v>4</v>
      </c>
      <c r="X64" s="27">
        <v>2</v>
      </c>
      <c r="Y64" s="27">
        <v>3</v>
      </c>
      <c r="Z64" s="27">
        <v>2</v>
      </c>
      <c r="AA64" s="27">
        <v>1</v>
      </c>
      <c r="AB64" s="27">
        <v>2</v>
      </c>
      <c r="AC64" s="27">
        <v>1</v>
      </c>
      <c r="AD64" s="92" cm="1">
        <f t="array" ref="AD64">SUM((S64:AC64)/$AD$34*100)</f>
        <v>46.341463414634141</v>
      </c>
    </row>
    <row r="65" spans="1:30" ht="15" thickBot="1" x14ac:dyDescent="0.35">
      <c r="A65" s="86"/>
      <c r="B65" s="87"/>
      <c r="C65" s="46" t="s">
        <v>4</v>
      </c>
      <c r="D65" s="11" t="s">
        <v>5</v>
      </c>
      <c r="E65" s="11" t="s">
        <v>5</v>
      </c>
      <c r="F65" s="12" t="s">
        <v>6</v>
      </c>
      <c r="G65" s="10" t="s">
        <v>6</v>
      </c>
      <c r="H65" s="11" t="s">
        <v>8</v>
      </c>
      <c r="I65" s="11" t="s">
        <v>135</v>
      </c>
      <c r="J65" s="11" t="s">
        <v>9</v>
      </c>
      <c r="K65" s="11" t="s">
        <v>9</v>
      </c>
      <c r="L65" s="11" t="s">
        <v>10</v>
      </c>
      <c r="M65" s="47" t="s">
        <v>11</v>
      </c>
      <c r="N65" s="47" t="s">
        <v>136</v>
      </c>
      <c r="O65" s="33"/>
      <c r="S65" s="11" t="s">
        <v>5</v>
      </c>
      <c r="T65" s="11" t="s">
        <v>5</v>
      </c>
      <c r="U65" s="12" t="s">
        <v>6</v>
      </c>
      <c r="V65" s="10" t="s">
        <v>6</v>
      </c>
      <c r="W65" s="11" t="s">
        <v>8</v>
      </c>
      <c r="X65" s="11" t="s">
        <v>135</v>
      </c>
      <c r="Y65" s="11" t="s">
        <v>9</v>
      </c>
      <c r="Z65" s="11" t="s">
        <v>9</v>
      </c>
      <c r="AA65" s="11" t="s">
        <v>10</v>
      </c>
      <c r="AB65" s="47" t="s">
        <v>11</v>
      </c>
      <c r="AC65" s="47" t="s">
        <v>136</v>
      </c>
      <c r="AD65" s="33"/>
    </row>
    <row r="66" spans="1:30" ht="15" thickBot="1" x14ac:dyDescent="0.35">
      <c r="A66" s="88" t="s">
        <v>137</v>
      </c>
      <c r="B66" s="89"/>
      <c r="C66" s="35" t="s">
        <v>14</v>
      </c>
      <c r="D66" s="17">
        <v>6</v>
      </c>
      <c r="E66" s="17">
        <v>2</v>
      </c>
      <c r="F66" s="17">
        <v>5</v>
      </c>
      <c r="G66" s="17">
        <v>1</v>
      </c>
      <c r="H66" s="17">
        <v>5</v>
      </c>
      <c r="I66" s="17">
        <v>3</v>
      </c>
      <c r="J66" s="17">
        <v>5</v>
      </c>
      <c r="K66" s="17">
        <v>2</v>
      </c>
      <c r="L66" s="17">
        <v>4</v>
      </c>
      <c r="M66" s="17">
        <v>5</v>
      </c>
      <c r="N66" s="17">
        <v>3</v>
      </c>
      <c r="O66" s="19">
        <v>41</v>
      </c>
      <c r="S66" s="17">
        <v>6</v>
      </c>
      <c r="T66" s="17">
        <v>2</v>
      </c>
      <c r="U66" s="17">
        <v>5</v>
      </c>
      <c r="V66" s="17">
        <v>1</v>
      </c>
      <c r="W66" s="17">
        <v>5</v>
      </c>
      <c r="X66" s="17">
        <v>3</v>
      </c>
      <c r="Y66" s="17">
        <v>5</v>
      </c>
      <c r="Z66" s="17">
        <v>2</v>
      </c>
      <c r="AA66" s="17">
        <v>4</v>
      </c>
      <c r="AB66" s="17">
        <v>6</v>
      </c>
      <c r="AC66" s="17">
        <v>3</v>
      </c>
      <c r="AD66" s="19">
        <v>42</v>
      </c>
    </row>
    <row r="67" spans="1:30" ht="15" thickBot="1" x14ac:dyDescent="0.35">
      <c r="A67" s="20">
        <v>151</v>
      </c>
      <c r="B67" s="95" t="s">
        <v>160</v>
      </c>
      <c r="C67" s="95" t="s">
        <v>161</v>
      </c>
      <c r="D67" s="18">
        <v>4</v>
      </c>
      <c r="E67" s="18">
        <v>2</v>
      </c>
      <c r="F67" s="18">
        <v>4</v>
      </c>
      <c r="G67" s="18">
        <v>1</v>
      </c>
      <c r="H67" s="18">
        <v>4</v>
      </c>
      <c r="I67" s="18">
        <v>3</v>
      </c>
      <c r="J67" s="18">
        <v>4</v>
      </c>
      <c r="K67" s="18">
        <v>2</v>
      </c>
      <c r="L67" s="18">
        <v>4</v>
      </c>
      <c r="M67" s="18">
        <v>4</v>
      </c>
      <c r="N67" s="48">
        <v>1</v>
      </c>
      <c r="O67" s="23">
        <v>80.489999999999995</v>
      </c>
      <c r="S67" s="18">
        <v>4</v>
      </c>
      <c r="T67" s="18">
        <v>2</v>
      </c>
      <c r="U67" s="18">
        <v>4</v>
      </c>
      <c r="V67" s="18">
        <v>1</v>
      </c>
      <c r="W67" s="18">
        <v>4</v>
      </c>
      <c r="X67" s="18">
        <v>3</v>
      </c>
      <c r="Y67" s="18">
        <v>4</v>
      </c>
      <c r="Z67" s="18">
        <v>2</v>
      </c>
      <c r="AA67" s="18">
        <v>4</v>
      </c>
      <c r="AB67" s="18">
        <v>4</v>
      </c>
      <c r="AC67" s="93">
        <v>1</v>
      </c>
      <c r="AD67" s="90" cm="1">
        <f t="array" ref="AD67">SUM(S67:AC67/$AD$66*100)</f>
        <v>78.571428571428569</v>
      </c>
    </row>
    <row r="68" spans="1:30" ht="15" thickBot="1" x14ac:dyDescent="0.35">
      <c r="A68" s="24">
        <v>152</v>
      </c>
      <c r="B68" s="95" t="s">
        <v>162</v>
      </c>
      <c r="C68" s="95" t="s">
        <v>163</v>
      </c>
      <c r="D68" s="27">
        <v>2</v>
      </c>
      <c r="E68" s="27">
        <v>1</v>
      </c>
      <c r="F68" s="27">
        <v>2</v>
      </c>
      <c r="G68" s="27">
        <v>1</v>
      </c>
      <c r="H68" s="27">
        <v>3</v>
      </c>
      <c r="I68" s="27">
        <v>3</v>
      </c>
      <c r="J68" s="27">
        <v>5</v>
      </c>
      <c r="K68" s="27">
        <v>2</v>
      </c>
      <c r="L68" s="27">
        <v>3</v>
      </c>
      <c r="M68" s="27">
        <v>3</v>
      </c>
      <c r="N68" s="49">
        <v>1</v>
      </c>
      <c r="O68" s="29">
        <v>63.41</v>
      </c>
      <c r="S68" s="27">
        <v>2</v>
      </c>
      <c r="T68" s="27">
        <v>1</v>
      </c>
      <c r="U68" s="27">
        <v>2</v>
      </c>
      <c r="V68" s="27">
        <v>1</v>
      </c>
      <c r="W68" s="27">
        <v>3</v>
      </c>
      <c r="X68" s="27">
        <v>3</v>
      </c>
      <c r="Y68" s="27">
        <v>5</v>
      </c>
      <c r="Z68" s="27">
        <v>2</v>
      </c>
      <c r="AA68" s="27">
        <v>3</v>
      </c>
      <c r="AB68" s="27">
        <v>3</v>
      </c>
      <c r="AC68" s="49">
        <v>1</v>
      </c>
      <c r="AD68" s="90" cm="1">
        <f t="array" ref="AD68">SUM(S68:AC68/$AD$66*100)</f>
        <v>61.904761904761898</v>
      </c>
    </row>
    <row r="69" spans="1:30" ht="15" thickBot="1" x14ac:dyDescent="0.35">
      <c r="A69" s="20">
        <v>153</v>
      </c>
      <c r="B69" s="95" t="s">
        <v>164</v>
      </c>
      <c r="C69" s="95" t="s">
        <v>165</v>
      </c>
      <c r="D69" s="18">
        <v>2</v>
      </c>
      <c r="E69" s="18">
        <v>2</v>
      </c>
      <c r="F69" s="18">
        <v>3</v>
      </c>
      <c r="G69" s="18">
        <v>0</v>
      </c>
      <c r="H69" s="18">
        <v>3</v>
      </c>
      <c r="I69" s="18">
        <v>2</v>
      </c>
      <c r="J69" s="18">
        <v>4</v>
      </c>
      <c r="K69" s="18">
        <v>2</v>
      </c>
      <c r="L69" s="18">
        <v>3</v>
      </c>
      <c r="M69" s="18">
        <v>3</v>
      </c>
      <c r="N69" s="48">
        <v>1</v>
      </c>
      <c r="O69" s="29">
        <v>60.98</v>
      </c>
      <c r="S69" s="18">
        <v>2</v>
      </c>
      <c r="T69" s="18">
        <v>2</v>
      </c>
      <c r="U69" s="18">
        <v>3</v>
      </c>
      <c r="V69" s="18">
        <v>0</v>
      </c>
      <c r="W69" s="18">
        <v>3</v>
      </c>
      <c r="X69" s="18">
        <v>2</v>
      </c>
      <c r="Y69" s="18">
        <v>4</v>
      </c>
      <c r="Z69" s="18">
        <v>2</v>
      </c>
      <c r="AA69" s="18">
        <v>3</v>
      </c>
      <c r="AB69" s="18">
        <v>3</v>
      </c>
      <c r="AC69" s="48">
        <v>1</v>
      </c>
      <c r="AD69" s="90" cm="1">
        <f t="array" ref="AD69">SUM(S69:AC69/$AD$66*100)</f>
        <v>59.523809523809518</v>
      </c>
    </row>
    <row r="70" spans="1:30" ht="15" thickBot="1" x14ac:dyDescent="0.35">
      <c r="A70" s="24">
        <v>154</v>
      </c>
      <c r="B70" s="95" t="s">
        <v>166</v>
      </c>
      <c r="C70" s="95" t="s">
        <v>167</v>
      </c>
      <c r="D70" s="27">
        <v>2</v>
      </c>
      <c r="E70" s="27">
        <v>1</v>
      </c>
      <c r="F70" s="27">
        <v>0</v>
      </c>
      <c r="G70" s="27">
        <v>0</v>
      </c>
      <c r="H70" s="27">
        <v>2</v>
      </c>
      <c r="I70" s="27">
        <v>2</v>
      </c>
      <c r="J70" s="27">
        <v>3</v>
      </c>
      <c r="K70" s="27">
        <v>2</v>
      </c>
      <c r="L70" s="27">
        <v>3</v>
      </c>
      <c r="M70" s="27">
        <v>1</v>
      </c>
      <c r="N70" s="49">
        <v>2</v>
      </c>
      <c r="O70" s="29">
        <v>43.9</v>
      </c>
      <c r="S70" s="27">
        <v>2</v>
      </c>
      <c r="T70" s="27">
        <v>1</v>
      </c>
      <c r="U70" s="27">
        <v>0</v>
      </c>
      <c r="V70" s="27">
        <v>0</v>
      </c>
      <c r="W70" s="27">
        <v>2</v>
      </c>
      <c r="X70" s="27">
        <v>2</v>
      </c>
      <c r="Y70" s="27">
        <v>3</v>
      </c>
      <c r="Z70" s="27">
        <v>2</v>
      </c>
      <c r="AA70" s="27">
        <v>3</v>
      </c>
      <c r="AB70" s="27">
        <v>1</v>
      </c>
      <c r="AC70" s="49">
        <v>2</v>
      </c>
      <c r="AD70" s="90" cm="1">
        <f t="array" ref="AD70">SUM(S70:AC70/$AD$66*100)</f>
        <v>42.857142857142854</v>
      </c>
    </row>
    <row r="71" spans="1:30" ht="15" thickBot="1" x14ac:dyDescent="0.35">
      <c r="A71" s="20">
        <v>155</v>
      </c>
      <c r="B71" s="95" t="s">
        <v>168</v>
      </c>
      <c r="C71" s="95" t="s">
        <v>169</v>
      </c>
      <c r="D71" s="18">
        <v>1</v>
      </c>
      <c r="E71" s="18">
        <v>2</v>
      </c>
      <c r="F71" s="18">
        <v>2</v>
      </c>
      <c r="G71" s="18">
        <v>0</v>
      </c>
      <c r="H71" s="18">
        <v>4</v>
      </c>
      <c r="I71" s="18">
        <v>0</v>
      </c>
      <c r="J71" s="18">
        <v>5</v>
      </c>
      <c r="K71" s="18">
        <v>2</v>
      </c>
      <c r="L71" s="18">
        <v>2</v>
      </c>
      <c r="M71" s="18">
        <v>4</v>
      </c>
      <c r="N71" s="48">
        <v>1</v>
      </c>
      <c r="O71" s="29">
        <v>56.1</v>
      </c>
      <c r="S71" s="18">
        <v>1</v>
      </c>
      <c r="T71" s="18">
        <v>2</v>
      </c>
      <c r="U71" s="18">
        <v>2</v>
      </c>
      <c r="V71" s="18">
        <v>0</v>
      </c>
      <c r="W71" s="18">
        <v>4</v>
      </c>
      <c r="X71" s="18">
        <v>0</v>
      </c>
      <c r="Y71" s="18">
        <v>5</v>
      </c>
      <c r="Z71" s="18">
        <v>2</v>
      </c>
      <c r="AA71" s="18">
        <v>2</v>
      </c>
      <c r="AB71" s="18">
        <v>4</v>
      </c>
      <c r="AC71" s="48">
        <v>1</v>
      </c>
      <c r="AD71" s="90" cm="1">
        <f t="array" ref="AD71">SUM(S71:AC71/$AD$66*100)</f>
        <v>54.761904761904759</v>
      </c>
    </row>
    <row r="72" spans="1:30" ht="15" thickBot="1" x14ac:dyDescent="0.35">
      <c r="A72" s="24">
        <v>156</v>
      </c>
      <c r="B72" s="95" t="s">
        <v>170</v>
      </c>
      <c r="C72" s="95" t="s">
        <v>171</v>
      </c>
      <c r="D72" s="27">
        <v>3</v>
      </c>
      <c r="E72" s="27">
        <v>1</v>
      </c>
      <c r="F72" s="27">
        <v>0</v>
      </c>
      <c r="G72" s="27">
        <v>0</v>
      </c>
      <c r="H72" s="27">
        <v>2</v>
      </c>
      <c r="I72" s="27">
        <v>2</v>
      </c>
      <c r="J72" s="27">
        <v>3</v>
      </c>
      <c r="K72" s="27">
        <v>2</v>
      </c>
      <c r="L72" s="27">
        <v>4</v>
      </c>
      <c r="M72" s="27">
        <v>2</v>
      </c>
      <c r="N72" s="49">
        <v>1</v>
      </c>
      <c r="O72" s="29">
        <v>48.78</v>
      </c>
      <c r="S72" s="27">
        <v>3</v>
      </c>
      <c r="T72" s="27">
        <v>1</v>
      </c>
      <c r="U72" s="27">
        <v>0</v>
      </c>
      <c r="V72" s="27">
        <v>0</v>
      </c>
      <c r="W72" s="27">
        <v>2</v>
      </c>
      <c r="X72" s="27">
        <v>2</v>
      </c>
      <c r="Y72" s="27">
        <v>3</v>
      </c>
      <c r="Z72" s="27">
        <v>2</v>
      </c>
      <c r="AA72" s="27">
        <v>4</v>
      </c>
      <c r="AB72" s="27">
        <v>2</v>
      </c>
      <c r="AC72" s="49">
        <v>1</v>
      </c>
      <c r="AD72" s="90" cm="1">
        <f t="array" ref="AD72">SUM(S72:AC72/$AD$66*100)</f>
        <v>47.619047619047613</v>
      </c>
    </row>
    <row r="73" spans="1:30" ht="15" thickBot="1" x14ac:dyDescent="0.35">
      <c r="A73" s="20">
        <v>157</v>
      </c>
      <c r="B73" s="95" t="s">
        <v>172</v>
      </c>
      <c r="C73" s="95" t="s">
        <v>173</v>
      </c>
      <c r="D73" s="18">
        <v>0</v>
      </c>
      <c r="E73" s="18">
        <v>2</v>
      </c>
      <c r="F73" s="18">
        <v>2</v>
      </c>
      <c r="G73" s="18">
        <v>0</v>
      </c>
      <c r="H73" s="18">
        <v>4</v>
      </c>
      <c r="I73" s="18">
        <v>2</v>
      </c>
      <c r="J73" s="18">
        <v>3</v>
      </c>
      <c r="K73" s="18">
        <v>2</v>
      </c>
      <c r="L73" s="18">
        <v>1</v>
      </c>
      <c r="M73" s="18">
        <v>0</v>
      </c>
      <c r="N73" s="48">
        <v>1</v>
      </c>
      <c r="O73" s="29">
        <v>41.46</v>
      </c>
      <c r="S73" s="18">
        <v>0</v>
      </c>
      <c r="T73" s="18">
        <v>2</v>
      </c>
      <c r="U73" s="18">
        <v>2</v>
      </c>
      <c r="V73" s="18">
        <v>0</v>
      </c>
      <c r="W73" s="18">
        <v>4</v>
      </c>
      <c r="X73" s="18">
        <v>2</v>
      </c>
      <c r="Y73" s="18">
        <v>3</v>
      </c>
      <c r="Z73" s="18">
        <v>2</v>
      </c>
      <c r="AA73" s="18">
        <v>1</v>
      </c>
      <c r="AB73" s="18">
        <v>0</v>
      </c>
      <c r="AC73" s="48">
        <v>1</v>
      </c>
      <c r="AD73" s="90" cm="1">
        <f t="array" ref="AD73">SUM(S73:AC73/$AD$66*100)</f>
        <v>40.476190476190474</v>
      </c>
    </row>
    <row r="74" spans="1:30" ht="15" thickBot="1" x14ac:dyDescent="0.35">
      <c r="A74" s="24">
        <v>158</v>
      </c>
      <c r="B74" s="95" t="s">
        <v>174</v>
      </c>
      <c r="C74" s="95" t="s">
        <v>175</v>
      </c>
      <c r="D74" s="27">
        <v>2</v>
      </c>
      <c r="E74" s="27">
        <v>1</v>
      </c>
      <c r="F74" s="27">
        <v>0</v>
      </c>
      <c r="G74" s="27">
        <v>1</v>
      </c>
      <c r="H74" s="27">
        <v>4</v>
      </c>
      <c r="I74" s="27">
        <v>2</v>
      </c>
      <c r="J74" s="27">
        <v>1</v>
      </c>
      <c r="K74" s="27">
        <v>0</v>
      </c>
      <c r="L74" s="27">
        <v>3</v>
      </c>
      <c r="M74" s="27">
        <v>0</v>
      </c>
      <c r="N74" s="49">
        <v>1</v>
      </c>
      <c r="O74" s="29">
        <v>36.590000000000003</v>
      </c>
      <c r="S74" s="27">
        <v>2</v>
      </c>
      <c r="T74" s="27">
        <v>1</v>
      </c>
      <c r="U74" s="27">
        <v>0</v>
      </c>
      <c r="V74" s="27">
        <v>1</v>
      </c>
      <c r="W74" s="27">
        <v>4</v>
      </c>
      <c r="X74" s="27">
        <v>2</v>
      </c>
      <c r="Y74" s="27">
        <v>1</v>
      </c>
      <c r="Z74" s="27">
        <v>0</v>
      </c>
      <c r="AA74" s="27">
        <v>3</v>
      </c>
      <c r="AB74" s="27">
        <v>0</v>
      </c>
      <c r="AC74" s="49">
        <v>1</v>
      </c>
      <c r="AD74" s="90" cm="1">
        <f t="array" ref="AD74">SUM(S74:AC74/$AD$66*100)</f>
        <v>35.714285714285708</v>
      </c>
    </row>
    <row r="75" spans="1:30" ht="15" thickBot="1" x14ac:dyDescent="0.35">
      <c r="A75" s="20">
        <v>159</v>
      </c>
      <c r="B75" s="95" t="s">
        <v>176</v>
      </c>
      <c r="C75" s="95" t="s">
        <v>177</v>
      </c>
      <c r="D75" s="18">
        <v>3</v>
      </c>
      <c r="E75" s="18">
        <v>2</v>
      </c>
      <c r="F75" s="18">
        <v>2</v>
      </c>
      <c r="G75" s="18">
        <v>0</v>
      </c>
      <c r="H75" s="18">
        <v>5</v>
      </c>
      <c r="I75" s="18">
        <v>2</v>
      </c>
      <c r="J75" s="18">
        <v>4</v>
      </c>
      <c r="K75" s="18">
        <v>2</v>
      </c>
      <c r="L75" s="18">
        <v>3</v>
      </c>
      <c r="M75" s="18">
        <v>3</v>
      </c>
      <c r="N75" s="48">
        <v>1</v>
      </c>
      <c r="O75" s="29">
        <v>65.849999999999994</v>
      </c>
      <c r="S75" s="18">
        <v>3</v>
      </c>
      <c r="T75" s="18">
        <v>2</v>
      </c>
      <c r="U75" s="18">
        <v>2</v>
      </c>
      <c r="V75" s="18">
        <v>0</v>
      </c>
      <c r="W75" s="18">
        <v>5</v>
      </c>
      <c r="X75" s="18">
        <v>2</v>
      </c>
      <c r="Y75" s="18">
        <v>4</v>
      </c>
      <c r="Z75" s="18">
        <v>2</v>
      </c>
      <c r="AA75" s="18">
        <v>3</v>
      </c>
      <c r="AB75" s="18">
        <v>3</v>
      </c>
      <c r="AC75" s="48">
        <v>1</v>
      </c>
      <c r="AD75" s="90" cm="1">
        <f t="array" ref="AD75">SUM(S75:AC75/$AD$66*100)</f>
        <v>64.285714285714278</v>
      </c>
    </row>
    <row r="76" spans="1:30" ht="15" thickBot="1" x14ac:dyDescent="0.35">
      <c r="A76" s="24">
        <v>160</v>
      </c>
      <c r="B76" s="95" t="s">
        <v>178</v>
      </c>
      <c r="C76" s="95" t="s">
        <v>179</v>
      </c>
      <c r="D76" s="27">
        <v>3</v>
      </c>
      <c r="E76" s="27">
        <v>1</v>
      </c>
      <c r="F76" s="27">
        <v>2</v>
      </c>
      <c r="G76" s="27">
        <v>1</v>
      </c>
      <c r="H76" s="27">
        <v>2</v>
      </c>
      <c r="I76" s="27">
        <v>1</v>
      </c>
      <c r="J76" s="27">
        <v>1</v>
      </c>
      <c r="K76" s="27">
        <v>2</v>
      </c>
      <c r="L76" s="27">
        <v>3</v>
      </c>
      <c r="M76" s="27">
        <v>1</v>
      </c>
      <c r="N76" s="49">
        <v>1</v>
      </c>
      <c r="O76" s="29">
        <v>43.9</v>
      </c>
      <c r="S76" s="27">
        <v>3</v>
      </c>
      <c r="T76" s="27">
        <v>1</v>
      </c>
      <c r="U76" s="27">
        <v>2</v>
      </c>
      <c r="V76" s="27">
        <v>1</v>
      </c>
      <c r="W76" s="27">
        <v>2</v>
      </c>
      <c r="X76" s="27">
        <v>1</v>
      </c>
      <c r="Y76" s="27">
        <v>1</v>
      </c>
      <c r="Z76" s="27">
        <v>2</v>
      </c>
      <c r="AA76" s="27">
        <v>3</v>
      </c>
      <c r="AB76" s="27">
        <v>1</v>
      </c>
      <c r="AC76" s="49">
        <v>1</v>
      </c>
      <c r="AD76" s="90" cm="1">
        <f t="array" ref="AD76">SUM(S76:AC76/$AD$66*100)</f>
        <v>42.857142857142847</v>
      </c>
    </row>
    <row r="77" spans="1:30" ht="15" thickBot="1" x14ac:dyDescent="0.35">
      <c r="A77" s="20">
        <v>161</v>
      </c>
      <c r="B77" s="95" t="s">
        <v>180</v>
      </c>
      <c r="C77" s="95" t="s">
        <v>181</v>
      </c>
      <c r="D77" s="18">
        <v>2</v>
      </c>
      <c r="E77" s="18">
        <v>2</v>
      </c>
      <c r="F77" s="18">
        <v>2</v>
      </c>
      <c r="G77" s="18">
        <v>0</v>
      </c>
      <c r="H77" s="18">
        <v>4</v>
      </c>
      <c r="I77" s="18">
        <v>2</v>
      </c>
      <c r="J77" s="18">
        <v>4</v>
      </c>
      <c r="K77" s="18">
        <v>2</v>
      </c>
      <c r="L77" s="18">
        <v>3</v>
      </c>
      <c r="M77" s="18">
        <v>2</v>
      </c>
      <c r="N77" s="48">
        <v>1</v>
      </c>
      <c r="O77" s="29">
        <v>58.54</v>
      </c>
      <c r="S77" s="18">
        <v>2</v>
      </c>
      <c r="T77" s="18">
        <v>2</v>
      </c>
      <c r="U77" s="18">
        <v>2</v>
      </c>
      <c r="V77" s="18">
        <v>0</v>
      </c>
      <c r="W77" s="18">
        <v>4</v>
      </c>
      <c r="X77" s="18">
        <v>2</v>
      </c>
      <c r="Y77" s="18">
        <v>4</v>
      </c>
      <c r="Z77" s="18">
        <v>2</v>
      </c>
      <c r="AA77" s="18">
        <v>3</v>
      </c>
      <c r="AB77" s="18">
        <v>2</v>
      </c>
      <c r="AC77" s="48">
        <v>1</v>
      </c>
      <c r="AD77" s="90" cm="1">
        <f t="array" ref="AD77">SUM(S77:AC77/$AD$66*100)</f>
        <v>57.142857142857139</v>
      </c>
    </row>
    <row r="78" spans="1:30" ht="15" thickBot="1" x14ac:dyDescent="0.35">
      <c r="A78" s="24">
        <v>162</v>
      </c>
      <c r="B78" s="95" t="s">
        <v>182</v>
      </c>
      <c r="C78" s="95" t="s">
        <v>183</v>
      </c>
      <c r="D78" s="27">
        <v>0</v>
      </c>
      <c r="E78" s="27">
        <v>2</v>
      </c>
      <c r="F78" s="27">
        <v>1</v>
      </c>
      <c r="G78" s="27">
        <v>0</v>
      </c>
      <c r="H78" s="27">
        <v>4</v>
      </c>
      <c r="I78" s="27">
        <v>2</v>
      </c>
      <c r="J78" s="27">
        <v>2</v>
      </c>
      <c r="K78" s="27">
        <v>2</v>
      </c>
      <c r="L78" s="27">
        <v>0</v>
      </c>
      <c r="M78" s="27">
        <v>0</v>
      </c>
      <c r="N78" s="49">
        <v>1</v>
      </c>
      <c r="O78" s="29">
        <v>34.15</v>
      </c>
      <c r="S78" s="27">
        <v>0</v>
      </c>
      <c r="T78" s="27">
        <v>2</v>
      </c>
      <c r="U78" s="27">
        <v>1</v>
      </c>
      <c r="V78" s="27">
        <v>0</v>
      </c>
      <c r="W78" s="27">
        <v>4</v>
      </c>
      <c r="X78" s="27">
        <v>2</v>
      </c>
      <c r="Y78" s="27">
        <v>2</v>
      </c>
      <c r="Z78" s="27">
        <v>2</v>
      </c>
      <c r="AA78" s="27">
        <v>0</v>
      </c>
      <c r="AB78" s="27">
        <v>0</v>
      </c>
      <c r="AC78" s="49">
        <v>1</v>
      </c>
      <c r="AD78" s="90" cm="1">
        <f t="array" ref="AD78">SUM(S78:AC78/$AD$66*100)</f>
        <v>33.333333333333336</v>
      </c>
    </row>
    <row r="79" spans="1:30" ht="15" thickBot="1" x14ac:dyDescent="0.35">
      <c r="A79" s="20">
        <v>163</v>
      </c>
      <c r="B79" s="95" t="s">
        <v>184</v>
      </c>
      <c r="C79" s="95" t="s">
        <v>185</v>
      </c>
      <c r="D79" s="18">
        <v>1</v>
      </c>
      <c r="E79" s="18">
        <v>1</v>
      </c>
      <c r="F79" s="18">
        <v>2</v>
      </c>
      <c r="G79" s="18">
        <v>1</v>
      </c>
      <c r="H79" s="18">
        <v>1</v>
      </c>
      <c r="I79" s="18">
        <v>3</v>
      </c>
      <c r="J79" s="18">
        <v>3</v>
      </c>
      <c r="K79" s="18">
        <v>2</v>
      </c>
      <c r="L79" s="18">
        <v>2</v>
      </c>
      <c r="M79" s="18">
        <v>1</v>
      </c>
      <c r="N79" s="48">
        <v>1</v>
      </c>
      <c r="O79" s="29">
        <v>43.9</v>
      </c>
      <c r="S79" s="18">
        <v>1</v>
      </c>
      <c r="T79" s="18">
        <v>1</v>
      </c>
      <c r="U79" s="18">
        <v>2</v>
      </c>
      <c r="V79" s="18">
        <v>1</v>
      </c>
      <c r="W79" s="18">
        <v>1</v>
      </c>
      <c r="X79" s="18">
        <v>3</v>
      </c>
      <c r="Y79" s="18">
        <v>3</v>
      </c>
      <c r="Z79" s="18">
        <v>2</v>
      </c>
      <c r="AA79" s="18">
        <v>2</v>
      </c>
      <c r="AB79" s="18">
        <v>1</v>
      </c>
      <c r="AC79" s="48">
        <v>1</v>
      </c>
      <c r="AD79" s="90" cm="1">
        <f t="array" ref="AD79">SUM(S79:AC79/$AD$66*100)</f>
        <v>42.857142857142854</v>
      </c>
    </row>
    <row r="80" spans="1:30" ht="15" thickBot="1" x14ac:dyDescent="0.35">
      <c r="A80" s="24">
        <v>164</v>
      </c>
      <c r="B80" s="95" t="s">
        <v>186</v>
      </c>
      <c r="C80" s="95" t="s">
        <v>187</v>
      </c>
      <c r="D80" s="27">
        <v>0</v>
      </c>
      <c r="E80" s="27">
        <v>2</v>
      </c>
      <c r="F80" s="27">
        <v>4</v>
      </c>
      <c r="G80" s="27">
        <v>0</v>
      </c>
      <c r="H80" s="27">
        <v>4</v>
      </c>
      <c r="I80" s="27">
        <v>3</v>
      </c>
      <c r="J80" s="27">
        <v>3</v>
      </c>
      <c r="K80" s="27">
        <v>2</v>
      </c>
      <c r="L80" s="27">
        <v>1</v>
      </c>
      <c r="M80" s="27">
        <v>2</v>
      </c>
      <c r="N80" s="49">
        <v>0</v>
      </c>
      <c r="O80" s="29">
        <v>51.22</v>
      </c>
      <c r="S80" s="27">
        <v>0</v>
      </c>
      <c r="T80" s="27">
        <v>2</v>
      </c>
      <c r="U80" s="27">
        <v>4</v>
      </c>
      <c r="V80" s="27">
        <v>0</v>
      </c>
      <c r="W80" s="27">
        <v>4</v>
      </c>
      <c r="X80" s="27">
        <v>3</v>
      </c>
      <c r="Y80" s="27">
        <v>3</v>
      </c>
      <c r="Z80" s="27">
        <v>2</v>
      </c>
      <c r="AA80" s="27">
        <v>1</v>
      </c>
      <c r="AB80" s="27">
        <v>2</v>
      </c>
      <c r="AC80" s="49">
        <v>0</v>
      </c>
      <c r="AD80" s="90" cm="1">
        <f t="array" ref="AD80">SUM(S80:AC80/$AD$66*100)</f>
        <v>49.999999999999993</v>
      </c>
    </row>
    <row r="81" spans="1:30" ht="15" thickBot="1" x14ac:dyDescent="0.35">
      <c r="A81" s="20">
        <v>165</v>
      </c>
      <c r="B81" s="95" t="s">
        <v>189</v>
      </c>
      <c r="C81" s="95" t="s">
        <v>190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48">
        <v>0</v>
      </c>
      <c r="O81" s="29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48">
        <v>0</v>
      </c>
      <c r="AD81" s="90" cm="1">
        <f t="array" ref="AD81">SUM(S81:AC81/$AD$66*100)</f>
        <v>0</v>
      </c>
    </row>
    <row r="82" spans="1:30" ht="15" thickBot="1" x14ac:dyDescent="0.35">
      <c r="A82" s="24">
        <v>166</v>
      </c>
      <c r="B82" s="95" t="s">
        <v>191</v>
      </c>
      <c r="C82" s="95" t="s">
        <v>192</v>
      </c>
      <c r="D82" s="27">
        <v>4</v>
      </c>
      <c r="E82" s="27">
        <v>2</v>
      </c>
      <c r="F82" s="27">
        <v>5</v>
      </c>
      <c r="G82" s="27">
        <v>1</v>
      </c>
      <c r="H82" s="27">
        <v>5</v>
      </c>
      <c r="I82" s="27">
        <v>3</v>
      </c>
      <c r="J82" s="27">
        <v>5</v>
      </c>
      <c r="K82" s="27">
        <v>2</v>
      </c>
      <c r="L82" s="27">
        <v>3</v>
      </c>
      <c r="M82" s="27">
        <v>3</v>
      </c>
      <c r="N82" s="49">
        <v>1</v>
      </c>
      <c r="O82" s="23">
        <v>82.93</v>
      </c>
      <c r="S82" s="27">
        <v>4</v>
      </c>
      <c r="T82" s="27">
        <v>2</v>
      </c>
      <c r="U82" s="27">
        <v>5</v>
      </c>
      <c r="V82" s="27">
        <v>1</v>
      </c>
      <c r="W82" s="27">
        <v>5</v>
      </c>
      <c r="X82" s="27">
        <v>3</v>
      </c>
      <c r="Y82" s="27">
        <v>5</v>
      </c>
      <c r="Z82" s="27">
        <v>2</v>
      </c>
      <c r="AA82" s="27">
        <v>3</v>
      </c>
      <c r="AB82" s="27">
        <v>3</v>
      </c>
      <c r="AC82" s="49">
        <v>1</v>
      </c>
      <c r="AD82" s="90" cm="1">
        <f t="array" ref="AD82">SUM(S82:AC82/$AD$66*100)</f>
        <v>80.952380952380949</v>
      </c>
    </row>
    <row r="83" spans="1:30" ht="15" thickBot="1" x14ac:dyDescent="0.35">
      <c r="A83" s="50"/>
      <c r="B83" s="51"/>
      <c r="C83" s="52" t="s">
        <v>84</v>
      </c>
      <c r="D83" s="74"/>
      <c r="E83" s="75"/>
      <c r="F83" s="75"/>
      <c r="G83" s="75"/>
      <c r="H83" s="75"/>
      <c r="I83" s="75"/>
      <c r="J83" s="76">
        <v>46054</v>
      </c>
      <c r="K83" s="76"/>
      <c r="L83" s="53"/>
      <c r="M83" s="53"/>
      <c r="N83" s="77"/>
      <c r="O83" s="78"/>
      <c r="S83" s="74"/>
      <c r="T83" s="75"/>
      <c r="U83" s="75"/>
      <c r="V83" s="75"/>
      <c r="W83" s="75"/>
      <c r="X83" s="75"/>
      <c r="Y83" s="76">
        <v>46054</v>
      </c>
      <c r="Z83" s="76"/>
      <c r="AA83" s="53"/>
      <c r="AB83" s="53"/>
      <c r="AC83" s="77"/>
      <c r="AD83" s="78"/>
    </row>
    <row r="84" spans="1:30" x14ac:dyDescent="0.3">
      <c r="A84" s="40" t="s">
        <v>85</v>
      </c>
      <c r="B84" s="83" t="s">
        <v>87</v>
      </c>
      <c r="C84" s="84" t="s">
        <v>88</v>
      </c>
      <c r="D84" s="62" t="s">
        <v>89</v>
      </c>
      <c r="E84" s="63"/>
      <c r="F84" s="62" t="s">
        <v>90</v>
      </c>
      <c r="G84" s="63"/>
      <c r="H84" s="62" t="s">
        <v>91</v>
      </c>
      <c r="I84" s="63"/>
      <c r="J84" s="66" t="s">
        <v>92</v>
      </c>
      <c r="K84" s="67"/>
      <c r="L84" s="70" t="s">
        <v>93</v>
      </c>
      <c r="M84" s="72" t="s">
        <v>94</v>
      </c>
      <c r="N84" s="58" t="s">
        <v>95</v>
      </c>
      <c r="O84" s="60" t="s">
        <v>96</v>
      </c>
      <c r="S84" s="62" t="s">
        <v>89</v>
      </c>
      <c r="T84" s="63"/>
      <c r="U84" s="62" t="s">
        <v>90</v>
      </c>
      <c r="V84" s="63"/>
      <c r="W84" s="62" t="s">
        <v>91</v>
      </c>
      <c r="X84" s="63"/>
      <c r="Y84" s="66" t="s">
        <v>92</v>
      </c>
      <c r="Z84" s="67"/>
      <c r="AA84" s="70" t="s">
        <v>93</v>
      </c>
      <c r="AB84" s="72" t="s">
        <v>94</v>
      </c>
      <c r="AC84" s="58" t="s">
        <v>95</v>
      </c>
      <c r="AD84" s="60" t="s">
        <v>96</v>
      </c>
    </row>
    <row r="85" spans="1:30" ht="15" thickBot="1" x14ac:dyDescent="0.35">
      <c r="A85" s="41" t="s">
        <v>86</v>
      </c>
      <c r="B85" s="83"/>
      <c r="C85" s="85"/>
      <c r="D85" s="64"/>
      <c r="E85" s="65"/>
      <c r="F85" s="64"/>
      <c r="G85" s="65"/>
      <c r="H85" s="64"/>
      <c r="I85" s="65"/>
      <c r="J85" s="68"/>
      <c r="K85" s="69"/>
      <c r="L85" s="71"/>
      <c r="M85" s="73"/>
      <c r="N85" s="59"/>
      <c r="O85" s="61"/>
      <c r="S85" s="64"/>
      <c r="T85" s="65"/>
      <c r="U85" s="64"/>
      <c r="V85" s="65"/>
      <c r="W85" s="64"/>
      <c r="X85" s="65"/>
      <c r="Y85" s="68"/>
      <c r="Z85" s="69"/>
      <c r="AA85" s="71"/>
      <c r="AB85" s="73"/>
      <c r="AC85" s="59"/>
      <c r="AD85" s="61"/>
    </row>
    <row r="86" spans="1:30" ht="15" thickBot="1" x14ac:dyDescent="0.35">
      <c r="A86" s="2"/>
      <c r="B86" s="3"/>
      <c r="C86" s="17" t="s">
        <v>0</v>
      </c>
      <c r="D86" s="42" t="s">
        <v>1</v>
      </c>
      <c r="E86" s="43" t="s">
        <v>2</v>
      </c>
      <c r="F86" s="42" t="s">
        <v>1</v>
      </c>
      <c r="G86" s="17" t="s">
        <v>2</v>
      </c>
      <c r="H86" s="42" t="s">
        <v>1</v>
      </c>
      <c r="I86" s="43" t="s">
        <v>2</v>
      </c>
      <c r="J86" s="42" t="s">
        <v>1</v>
      </c>
      <c r="K86" s="43" t="s">
        <v>3</v>
      </c>
      <c r="L86" s="43" t="s">
        <v>1</v>
      </c>
      <c r="M86" s="43" t="s">
        <v>1</v>
      </c>
      <c r="N86" s="17" t="s">
        <v>2</v>
      </c>
      <c r="O86" s="44"/>
      <c r="S86" s="42" t="s">
        <v>1</v>
      </c>
      <c r="T86" s="43" t="s">
        <v>2</v>
      </c>
      <c r="U86" s="42" t="s">
        <v>1</v>
      </c>
      <c r="V86" s="17" t="s">
        <v>2</v>
      </c>
      <c r="W86" s="42" t="s">
        <v>1</v>
      </c>
      <c r="X86" s="43" t="s">
        <v>2</v>
      </c>
      <c r="Y86" s="42" t="s">
        <v>1</v>
      </c>
      <c r="Z86" s="43" t="s">
        <v>3</v>
      </c>
      <c r="AA86" s="43" t="s">
        <v>1</v>
      </c>
      <c r="AB86" s="43" t="s">
        <v>1</v>
      </c>
      <c r="AC86" s="17" t="s">
        <v>2</v>
      </c>
      <c r="AD86" s="44"/>
    </row>
    <row r="87" spans="1:30" ht="15" thickBot="1" x14ac:dyDescent="0.35">
      <c r="A87" s="20">
        <v>167</v>
      </c>
      <c r="B87" s="95" t="s">
        <v>193</v>
      </c>
      <c r="C87" s="95" t="s">
        <v>194</v>
      </c>
      <c r="D87" s="18">
        <v>1</v>
      </c>
      <c r="E87" s="18">
        <v>2</v>
      </c>
      <c r="F87" s="18">
        <v>1</v>
      </c>
      <c r="G87" s="18">
        <v>0</v>
      </c>
      <c r="H87" s="18">
        <v>5</v>
      </c>
      <c r="I87" s="18">
        <v>2</v>
      </c>
      <c r="J87" s="18">
        <v>3</v>
      </c>
      <c r="K87" s="18">
        <v>2</v>
      </c>
      <c r="L87" s="18">
        <v>3</v>
      </c>
      <c r="M87" s="18">
        <v>3</v>
      </c>
      <c r="N87" s="48">
        <v>1</v>
      </c>
      <c r="O87" s="29">
        <v>56.1</v>
      </c>
      <c r="S87" s="18">
        <v>1</v>
      </c>
      <c r="T87" s="18">
        <v>2</v>
      </c>
      <c r="U87" s="18">
        <v>1</v>
      </c>
      <c r="V87" s="18">
        <v>0</v>
      </c>
      <c r="W87" s="18">
        <v>5</v>
      </c>
      <c r="X87" s="18">
        <v>2</v>
      </c>
      <c r="Y87" s="18">
        <v>3</v>
      </c>
      <c r="Z87" s="18">
        <v>2</v>
      </c>
      <c r="AA87" s="18">
        <v>3</v>
      </c>
      <c r="AB87" s="18">
        <v>3</v>
      </c>
      <c r="AC87" s="48">
        <v>1</v>
      </c>
      <c r="AD87" s="91">
        <f>SUM(S87:AC87)/$AD$66*100</f>
        <v>54.761904761904766</v>
      </c>
    </row>
    <row r="88" spans="1:30" ht="15" thickBot="1" x14ac:dyDescent="0.35">
      <c r="A88" s="24">
        <v>168</v>
      </c>
      <c r="B88" s="94" t="s">
        <v>69</v>
      </c>
      <c r="C88" s="94" t="s">
        <v>70</v>
      </c>
      <c r="D88" s="27">
        <v>0</v>
      </c>
      <c r="E88" s="27">
        <v>1</v>
      </c>
      <c r="F88" s="27">
        <v>2</v>
      </c>
      <c r="G88" s="27">
        <v>0</v>
      </c>
      <c r="H88" s="27">
        <v>1</v>
      </c>
      <c r="I88" s="27">
        <v>0</v>
      </c>
      <c r="J88" s="27">
        <v>2</v>
      </c>
      <c r="K88" s="27">
        <v>2</v>
      </c>
      <c r="L88" s="27">
        <v>1</v>
      </c>
      <c r="M88" s="27">
        <v>2</v>
      </c>
      <c r="N88" s="49">
        <v>1</v>
      </c>
      <c r="O88" s="29">
        <v>29.27</v>
      </c>
      <c r="S88" s="27">
        <v>0</v>
      </c>
      <c r="T88" s="27">
        <v>1</v>
      </c>
      <c r="U88" s="27">
        <v>2</v>
      </c>
      <c r="V88" s="27">
        <v>0</v>
      </c>
      <c r="W88" s="27">
        <v>1</v>
      </c>
      <c r="X88" s="27">
        <v>0</v>
      </c>
      <c r="Y88" s="27">
        <v>2</v>
      </c>
      <c r="Z88" s="27">
        <v>2</v>
      </c>
      <c r="AA88" s="27">
        <v>1</v>
      </c>
      <c r="AB88" s="27">
        <v>2</v>
      </c>
      <c r="AC88" s="49">
        <v>1</v>
      </c>
      <c r="AD88" s="91">
        <f t="shared" ref="AD88:AD98" si="4">SUM(S88:AC88)/$AD$66*100</f>
        <v>28.571428571428569</v>
      </c>
    </row>
    <row r="89" spans="1:30" ht="15" thickBot="1" x14ac:dyDescent="0.35">
      <c r="A89" s="20">
        <v>169</v>
      </c>
      <c r="B89" s="94" t="s">
        <v>71</v>
      </c>
      <c r="C89" s="94" t="s">
        <v>72</v>
      </c>
      <c r="D89" s="18">
        <v>2</v>
      </c>
      <c r="E89" s="18">
        <v>2</v>
      </c>
      <c r="F89" s="18">
        <v>2</v>
      </c>
      <c r="G89" s="18">
        <v>0</v>
      </c>
      <c r="H89" s="18">
        <v>4</v>
      </c>
      <c r="I89" s="18">
        <v>2</v>
      </c>
      <c r="J89" s="18">
        <v>3</v>
      </c>
      <c r="K89" s="18">
        <v>2</v>
      </c>
      <c r="L89" s="18">
        <v>3</v>
      </c>
      <c r="M89" s="18">
        <v>2</v>
      </c>
      <c r="N89" s="48">
        <v>1</v>
      </c>
      <c r="O89" s="29">
        <v>56.1</v>
      </c>
      <c r="S89" s="18">
        <v>2</v>
      </c>
      <c r="T89" s="18">
        <v>2</v>
      </c>
      <c r="U89" s="18">
        <v>2</v>
      </c>
      <c r="V89" s="18">
        <v>0</v>
      </c>
      <c r="W89" s="18">
        <v>4</v>
      </c>
      <c r="X89" s="18">
        <v>2</v>
      </c>
      <c r="Y89" s="18">
        <v>3</v>
      </c>
      <c r="Z89" s="18">
        <v>2</v>
      </c>
      <c r="AA89" s="18">
        <v>3</v>
      </c>
      <c r="AB89" s="18">
        <v>2</v>
      </c>
      <c r="AC89" s="48">
        <v>1</v>
      </c>
      <c r="AD89" s="91">
        <f t="shared" si="4"/>
        <v>54.761904761904766</v>
      </c>
    </row>
    <row r="90" spans="1:30" ht="15" thickBot="1" x14ac:dyDescent="0.35">
      <c r="A90" s="24">
        <v>170</v>
      </c>
      <c r="B90" s="94" t="s">
        <v>73</v>
      </c>
      <c r="C90" s="94" t="s">
        <v>74</v>
      </c>
      <c r="D90" s="27">
        <v>4</v>
      </c>
      <c r="E90" s="27">
        <v>2</v>
      </c>
      <c r="F90" s="27">
        <v>4</v>
      </c>
      <c r="G90" s="27">
        <v>0</v>
      </c>
      <c r="H90" s="27">
        <v>5</v>
      </c>
      <c r="I90" s="27">
        <v>3</v>
      </c>
      <c r="J90" s="27">
        <v>4</v>
      </c>
      <c r="K90" s="27">
        <v>2</v>
      </c>
      <c r="L90" s="27">
        <v>3</v>
      </c>
      <c r="M90" s="27">
        <v>4</v>
      </c>
      <c r="N90" s="49">
        <v>1</v>
      </c>
      <c r="O90" s="54">
        <v>78.05</v>
      </c>
      <c r="S90" s="27">
        <v>4</v>
      </c>
      <c r="T90" s="27">
        <v>2</v>
      </c>
      <c r="U90" s="27">
        <v>4</v>
      </c>
      <c r="V90" s="27">
        <v>0</v>
      </c>
      <c r="W90" s="27">
        <v>5</v>
      </c>
      <c r="X90" s="27">
        <v>3</v>
      </c>
      <c r="Y90" s="27">
        <v>4</v>
      </c>
      <c r="Z90" s="27">
        <v>2</v>
      </c>
      <c r="AA90" s="27">
        <v>3</v>
      </c>
      <c r="AB90" s="27">
        <v>4</v>
      </c>
      <c r="AC90" s="49">
        <v>1</v>
      </c>
      <c r="AD90" s="91">
        <f t="shared" si="4"/>
        <v>76.19047619047619</v>
      </c>
    </row>
    <row r="91" spans="1:30" ht="15" thickBot="1" x14ac:dyDescent="0.35">
      <c r="A91" s="20">
        <v>171</v>
      </c>
      <c r="B91" s="96" t="s">
        <v>75</v>
      </c>
      <c r="C91" s="96" t="s">
        <v>76</v>
      </c>
      <c r="D91" s="18">
        <v>2</v>
      </c>
      <c r="E91" s="18">
        <v>2</v>
      </c>
      <c r="F91" s="18">
        <v>1</v>
      </c>
      <c r="G91" s="18">
        <v>1</v>
      </c>
      <c r="H91" s="18">
        <v>5</v>
      </c>
      <c r="I91" s="18">
        <v>2</v>
      </c>
      <c r="J91" s="18">
        <v>3</v>
      </c>
      <c r="K91" s="18">
        <v>2</v>
      </c>
      <c r="L91" s="18">
        <v>3</v>
      </c>
      <c r="M91" s="18">
        <v>3</v>
      </c>
      <c r="N91" s="48">
        <v>1</v>
      </c>
      <c r="O91" s="55">
        <v>60.98</v>
      </c>
      <c r="S91" s="18">
        <v>2</v>
      </c>
      <c r="T91" s="18">
        <v>2</v>
      </c>
      <c r="U91" s="18">
        <v>1</v>
      </c>
      <c r="V91" s="18">
        <v>1</v>
      </c>
      <c r="W91" s="18">
        <v>5</v>
      </c>
      <c r="X91" s="18">
        <v>2</v>
      </c>
      <c r="Y91" s="18">
        <v>3</v>
      </c>
      <c r="Z91" s="18">
        <v>2</v>
      </c>
      <c r="AA91" s="18">
        <v>3</v>
      </c>
      <c r="AB91" s="18">
        <v>3</v>
      </c>
      <c r="AC91" s="48">
        <v>1</v>
      </c>
      <c r="AD91" s="91">
        <f t="shared" si="4"/>
        <v>59.523809523809526</v>
      </c>
    </row>
    <row r="92" spans="1:30" ht="15" thickBot="1" x14ac:dyDescent="0.35">
      <c r="A92" s="24">
        <v>172</v>
      </c>
      <c r="B92" s="96" t="s">
        <v>78</v>
      </c>
      <c r="C92" s="96" t="s">
        <v>79</v>
      </c>
      <c r="D92" s="27">
        <v>1</v>
      </c>
      <c r="E92" s="27">
        <v>2</v>
      </c>
      <c r="F92" s="27">
        <v>2</v>
      </c>
      <c r="G92" s="27">
        <v>1</v>
      </c>
      <c r="H92" s="27">
        <v>4</v>
      </c>
      <c r="I92" s="27">
        <v>2</v>
      </c>
      <c r="J92" s="27">
        <v>4</v>
      </c>
      <c r="K92" s="27">
        <v>2</v>
      </c>
      <c r="L92" s="27">
        <v>2</v>
      </c>
      <c r="M92" s="27">
        <v>4</v>
      </c>
      <c r="N92" s="49">
        <v>1</v>
      </c>
      <c r="O92" s="55">
        <v>60.98</v>
      </c>
      <c r="S92" s="27">
        <v>1</v>
      </c>
      <c r="T92" s="27">
        <v>2</v>
      </c>
      <c r="U92" s="27">
        <v>2</v>
      </c>
      <c r="V92" s="27">
        <v>1</v>
      </c>
      <c r="W92" s="27">
        <v>4</v>
      </c>
      <c r="X92" s="27">
        <v>2</v>
      </c>
      <c r="Y92" s="27">
        <v>4</v>
      </c>
      <c r="Z92" s="27">
        <v>2</v>
      </c>
      <c r="AA92" s="27">
        <v>2</v>
      </c>
      <c r="AB92" s="27">
        <v>4</v>
      </c>
      <c r="AC92" s="49">
        <v>1</v>
      </c>
      <c r="AD92" s="91">
        <f t="shared" si="4"/>
        <v>59.523809523809526</v>
      </c>
    </row>
    <row r="93" spans="1:30" ht="15" thickBot="1" x14ac:dyDescent="0.35">
      <c r="A93" s="20">
        <v>173</v>
      </c>
      <c r="B93" s="96" t="s">
        <v>80</v>
      </c>
      <c r="C93" s="96" t="s">
        <v>81</v>
      </c>
      <c r="D93" s="18">
        <v>2</v>
      </c>
      <c r="E93" s="18">
        <v>2</v>
      </c>
      <c r="F93" s="18">
        <v>3</v>
      </c>
      <c r="G93" s="18">
        <v>0</v>
      </c>
      <c r="H93" s="18">
        <v>4</v>
      </c>
      <c r="I93" s="18">
        <v>3</v>
      </c>
      <c r="J93" s="18">
        <v>3</v>
      </c>
      <c r="K93" s="18">
        <v>2</v>
      </c>
      <c r="L93" s="18">
        <v>3</v>
      </c>
      <c r="M93" s="18">
        <v>3</v>
      </c>
      <c r="N93" s="48">
        <v>1</v>
      </c>
      <c r="O93" s="55">
        <v>63.41</v>
      </c>
      <c r="S93" s="18">
        <v>2</v>
      </c>
      <c r="T93" s="18">
        <v>2</v>
      </c>
      <c r="U93" s="18">
        <v>3</v>
      </c>
      <c r="V93" s="18">
        <v>0</v>
      </c>
      <c r="W93" s="18">
        <v>4</v>
      </c>
      <c r="X93" s="18">
        <v>3</v>
      </c>
      <c r="Y93" s="18">
        <v>3</v>
      </c>
      <c r="Z93" s="18">
        <v>2</v>
      </c>
      <c r="AA93" s="18">
        <v>3</v>
      </c>
      <c r="AB93" s="18">
        <v>3</v>
      </c>
      <c r="AC93" s="48">
        <v>1</v>
      </c>
      <c r="AD93" s="91">
        <f t="shared" si="4"/>
        <v>61.904761904761905</v>
      </c>
    </row>
    <row r="94" spans="1:30" ht="15" thickBot="1" x14ac:dyDescent="0.35">
      <c r="A94" s="24">
        <v>174</v>
      </c>
      <c r="B94" s="96" t="s">
        <v>82</v>
      </c>
      <c r="C94" s="96" t="s">
        <v>83</v>
      </c>
      <c r="D94" s="27">
        <v>2</v>
      </c>
      <c r="E94" s="27">
        <v>2</v>
      </c>
      <c r="F94" s="27">
        <v>4</v>
      </c>
      <c r="G94" s="27">
        <v>1</v>
      </c>
      <c r="H94" s="27">
        <v>5</v>
      </c>
      <c r="I94" s="27">
        <v>3</v>
      </c>
      <c r="J94" s="27">
        <v>4</v>
      </c>
      <c r="K94" s="27">
        <v>2</v>
      </c>
      <c r="L94" s="27">
        <v>3</v>
      </c>
      <c r="M94" s="27">
        <v>2</v>
      </c>
      <c r="N94" s="49">
        <v>1</v>
      </c>
      <c r="O94" s="55">
        <v>70.73</v>
      </c>
      <c r="S94" s="27">
        <v>2</v>
      </c>
      <c r="T94" s="27">
        <v>2</v>
      </c>
      <c r="U94" s="27">
        <v>4</v>
      </c>
      <c r="V94" s="27">
        <v>1</v>
      </c>
      <c r="W94" s="27">
        <v>5</v>
      </c>
      <c r="X94" s="27">
        <v>3</v>
      </c>
      <c r="Y94" s="27">
        <v>4</v>
      </c>
      <c r="Z94" s="27">
        <v>2</v>
      </c>
      <c r="AA94" s="27">
        <v>3</v>
      </c>
      <c r="AB94" s="27">
        <v>2</v>
      </c>
      <c r="AC94" s="49">
        <v>1</v>
      </c>
      <c r="AD94" s="91">
        <f t="shared" si="4"/>
        <v>69.047619047619051</v>
      </c>
    </row>
    <row r="95" spans="1:30" ht="15" thickBot="1" x14ac:dyDescent="0.35">
      <c r="A95" s="20">
        <v>175</v>
      </c>
      <c r="B95" s="94" t="s">
        <v>97</v>
      </c>
      <c r="C95" s="94" t="s">
        <v>98</v>
      </c>
      <c r="D95" s="18">
        <v>0</v>
      </c>
      <c r="E95" s="18">
        <v>0</v>
      </c>
      <c r="F95" s="18">
        <v>0</v>
      </c>
      <c r="G95" s="18">
        <v>0</v>
      </c>
      <c r="H95" s="18">
        <v>0</v>
      </c>
      <c r="I95" s="18">
        <v>0</v>
      </c>
      <c r="J95" s="18">
        <v>0</v>
      </c>
      <c r="K95" s="18">
        <v>0</v>
      </c>
      <c r="L95" s="18">
        <v>1</v>
      </c>
      <c r="M95" s="18">
        <v>0</v>
      </c>
      <c r="N95" s="48">
        <v>1</v>
      </c>
      <c r="O95" s="55">
        <v>4.88</v>
      </c>
      <c r="S95" s="18">
        <v>0</v>
      </c>
      <c r="T95" s="18">
        <v>0</v>
      </c>
      <c r="U95" s="18">
        <v>0</v>
      </c>
      <c r="V95" s="18">
        <v>0</v>
      </c>
      <c r="W95" s="18">
        <v>0</v>
      </c>
      <c r="X95" s="18">
        <v>0</v>
      </c>
      <c r="Y95" s="18">
        <v>0</v>
      </c>
      <c r="Z95" s="18">
        <v>0</v>
      </c>
      <c r="AA95" s="18">
        <v>1</v>
      </c>
      <c r="AB95" s="18">
        <v>0</v>
      </c>
      <c r="AC95" s="48">
        <v>1</v>
      </c>
      <c r="AD95" s="91">
        <f t="shared" si="4"/>
        <v>4.7619047619047619</v>
      </c>
    </row>
    <row r="96" spans="1:30" ht="15" thickBot="1" x14ac:dyDescent="0.35">
      <c r="A96" s="56">
        <v>176</v>
      </c>
      <c r="B96" s="94" t="s">
        <v>100</v>
      </c>
      <c r="C96" s="94" t="s">
        <v>101</v>
      </c>
      <c r="D96" s="27">
        <v>1</v>
      </c>
      <c r="E96" s="27">
        <v>0</v>
      </c>
      <c r="F96" s="27">
        <v>2</v>
      </c>
      <c r="G96" s="27">
        <v>0</v>
      </c>
      <c r="H96" s="27">
        <v>2</v>
      </c>
      <c r="I96" s="27">
        <v>0</v>
      </c>
      <c r="J96" s="27">
        <v>0</v>
      </c>
      <c r="K96" s="27">
        <v>0</v>
      </c>
      <c r="L96" s="27">
        <v>2</v>
      </c>
      <c r="M96" s="27">
        <v>0</v>
      </c>
      <c r="N96" s="49">
        <v>0</v>
      </c>
      <c r="O96" s="55">
        <v>17.07</v>
      </c>
      <c r="S96" s="27">
        <v>1</v>
      </c>
      <c r="T96" s="27">
        <v>0</v>
      </c>
      <c r="U96" s="27">
        <v>2</v>
      </c>
      <c r="V96" s="27">
        <v>0</v>
      </c>
      <c r="W96" s="27">
        <v>2</v>
      </c>
      <c r="X96" s="27">
        <v>0</v>
      </c>
      <c r="Y96" s="27">
        <v>0</v>
      </c>
      <c r="Z96" s="27">
        <v>0</v>
      </c>
      <c r="AA96" s="27">
        <v>2</v>
      </c>
      <c r="AB96" s="27">
        <v>0</v>
      </c>
      <c r="AC96" s="49">
        <v>0</v>
      </c>
      <c r="AD96" s="91">
        <f t="shared" si="4"/>
        <v>16.666666666666664</v>
      </c>
    </row>
    <row r="97" spans="1:30" ht="15" thickBot="1" x14ac:dyDescent="0.35">
      <c r="A97" s="20">
        <v>177</v>
      </c>
      <c r="B97" s="94" t="s">
        <v>102</v>
      </c>
      <c r="C97" s="94" t="s">
        <v>103</v>
      </c>
      <c r="D97" s="18">
        <v>2</v>
      </c>
      <c r="E97" s="18">
        <v>1</v>
      </c>
      <c r="F97" s="18">
        <v>4</v>
      </c>
      <c r="G97" s="18">
        <v>0</v>
      </c>
      <c r="H97" s="18">
        <v>4</v>
      </c>
      <c r="I97" s="18">
        <v>0</v>
      </c>
      <c r="J97" s="18">
        <v>3</v>
      </c>
      <c r="K97" s="18">
        <v>0</v>
      </c>
      <c r="L97" s="18">
        <v>3</v>
      </c>
      <c r="M97" s="18">
        <v>3</v>
      </c>
      <c r="N97" s="48">
        <v>1</v>
      </c>
      <c r="O97" s="55">
        <v>51.22</v>
      </c>
      <c r="S97" s="18">
        <v>2</v>
      </c>
      <c r="T97" s="18">
        <v>1</v>
      </c>
      <c r="U97" s="18">
        <v>4</v>
      </c>
      <c r="V97" s="18">
        <v>0</v>
      </c>
      <c r="W97" s="18">
        <v>4</v>
      </c>
      <c r="X97" s="18">
        <v>0</v>
      </c>
      <c r="Y97" s="18">
        <v>3</v>
      </c>
      <c r="Z97" s="18">
        <v>0</v>
      </c>
      <c r="AA97" s="18">
        <v>3</v>
      </c>
      <c r="AB97" s="18">
        <v>3</v>
      </c>
      <c r="AC97" s="48">
        <v>1</v>
      </c>
      <c r="AD97" s="91">
        <f t="shared" si="4"/>
        <v>50</v>
      </c>
    </row>
    <row r="98" spans="1:30" ht="15" thickBot="1" x14ac:dyDescent="0.35">
      <c r="A98" s="56">
        <v>178</v>
      </c>
      <c r="B98" s="97" t="s">
        <v>104</v>
      </c>
      <c r="C98" s="97" t="s">
        <v>105</v>
      </c>
      <c r="D98" s="27">
        <v>4</v>
      </c>
      <c r="E98" s="27">
        <v>2</v>
      </c>
      <c r="F98" s="27">
        <v>3</v>
      </c>
      <c r="G98" s="27">
        <v>1</v>
      </c>
      <c r="H98" s="27">
        <v>5</v>
      </c>
      <c r="I98" s="27">
        <v>3</v>
      </c>
      <c r="J98" s="27">
        <v>3</v>
      </c>
      <c r="K98" s="27">
        <v>2</v>
      </c>
      <c r="L98" s="27">
        <v>3</v>
      </c>
      <c r="M98" s="27">
        <v>3</v>
      </c>
      <c r="N98" s="49">
        <v>1</v>
      </c>
      <c r="O98" s="57">
        <v>73.17</v>
      </c>
      <c r="S98" s="27">
        <v>4</v>
      </c>
      <c r="T98" s="27">
        <v>2</v>
      </c>
      <c r="U98" s="27">
        <v>3</v>
      </c>
      <c r="V98" s="27">
        <v>1</v>
      </c>
      <c r="W98" s="27">
        <v>5</v>
      </c>
      <c r="X98" s="27">
        <v>3</v>
      </c>
      <c r="Y98" s="27">
        <v>3</v>
      </c>
      <c r="Z98" s="27">
        <v>2</v>
      </c>
      <c r="AA98" s="27">
        <v>3</v>
      </c>
      <c r="AB98" s="27">
        <v>3</v>
      </c>
      <c r="AC98" s="49">
        <v>1</v>
      </c>
      <c r="AD98" s="91">
        <f t="shared" si="4"/>
        <v>71.428571428571431</v>
      </c>
    </row>
    <row r="99" spans="1:30" x14ac:dyDescent="0.3">
      <c r="B99" s="1" t="s">
        <v>195</v>
      </c>
      <c r="C99" s="1" t="s">
        <v>197</v>
      </c>
      <c r="D99" s="1" t="s">
        <v>198</v>
      </c>
      <c r="S99" s="1" t="s">
        <v>198</v>
      </c>
    </row>
  </sheetData>
  <mergeCells count="70">
    <mergeCell ref="L3:L4"/>
    <mergeCell ref="M3:M4"/>
    <mergeCell ref="N3:N4"/>
    <mergeCell ref="B3:B4"/>
    <mergeCell ref="C3:C4"/>
    <mergeCell ref="D3:E4"/>
    <mergeCell ref="F3:G4"/>
    <mergeCell ref="H3:I4"/>
    <mergeCell ref="J84:K85"/>
    <mergeCell ref="N44:N45"/>
    <mergeCell ref="O44:O45"/>
    <mergeCell ref="A65:B65"/>
    <mergeCell ref="A66:B66"/>
    <mergeCell ref="D83:E83"/>
    <mergeCell ref="F83:G83"/>
    <mergeCell ref="H83:I83"/>
    <mergeCell ref="J83:K83"/>
    <mergeCell ref="N83:O83"/>
    <mergeCell ref="B44:B45"/>
    <mergeCell ref="C44:C45"/>
    <mergeCell ref="D44:E45"/>
    <mergeCell ref="F44:G45"/>
    <mergeCell ref="H44:I45"/>
    <mergeCell ref="J44:K45"/>
    <mergeCell ref="B84:B85"/>
    <mergeCell ref="C84:C85"/>
    <mergeCell ref="D84:E85"/>
    <mergeCell ref="F84:G85"/>
    <mergeCell ref="H84:I85"/>
    <mergeCell ref="L84:L85"/>
    <mergeCell ref="M84:M85"/>
    <mergeCell ref="N84:N85"/>
    <mergeCell ref="O84:O85"/>
    <mergeCell ref="S2:AD2"/>
    <mergeCell ref="S3:T4"/>
    <mergeCell ref="U3:V4"/>
    <mergeCell ref="W3:X4"/>
    <mergeCell ref="Y3:Z4"/>
    <mergeCell ref="AA3:AA4"/>
    <mergeCell ref="O3:O4"/>
    <mergeCell ref="D43:O43"/>
    <mergeCell ref="L44:L45"/>
    <mergeCell ref="M44:M45"/>
    <mergeCell ref="D2:O2"/>
    <mergeCell ref="J3:K4"/>
    <mergeCell ref="AB3:AB4"/>
    <mergeCell ref="AC3:AC4"/>
    <mergeCell ref="AD3:AD4"/>
    <mergeCell ref="S43:AD43"/>
    <mergeCell ref="S44:T45"/>
    <mergeCell ref="U44:V45"/>
    <mergeCell ref="W44:X45"/>
    <mergeCell ref="Y44:Z45"/>
    <mergeCell ref="AA44:AA45"/>
    <mergeCell ref="AB44:AB45"/>
    <mergeCell ref="AC44:AC45"/>
    <mergeCell ref="AD44:AD45"/>
    <mergeCell ref="S83:T83"/>
    <mergeCell ref="U83:V83"/>
    <mergeCell ref="W83:X83"/>
    <mergeCell ref="Y83:Z83"/>
    <mergeCell ref="AC83:AD83"/>
    <mergeCell ref="AC84:AC85"/>
    <mergeCell ref="AD84:AD85"/>
    <mergeCell ref="S84:T85"/>
    <mergeCell ref="U84:V85"/>
    <mergeCell ref="W84:X85"/>
    <mergeCell ref="Y84:Z85"/>
    <mergeCell ref="AA84:AA85"/>
    <mergeCell ref="AB84:AB8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B35458-AD6A-4CE4-AAD6-E166BA5714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Anushri</dc:creator>
  <cp:lastModifiedBy>Radhika Patil</cp:lastModifiedBy>
  <dcterms:created xsi:type="dcterms:W3CDTF">2026-04-02T07:17:50Z</dcterms:created>
  <dcterms:modified xsi:type="dcterms:W3CDTF">2026-05-18T15:11:28Z</dcterms:modified>
</cp:coreProperties>
</file>