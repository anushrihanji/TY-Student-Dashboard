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d195c6a071dce8/Desktop/Mini Project 6 sem Shivani/TY_Dashboard_v3/attendance_app2/backend/data/"/>
    </mc:Choice>
  </mc:AlternateContent>
  <xr:revisionPtr revIDLastSave="506" documentId="13_ncr:1_{FA3500B5-4AA2-4C40-9287-19D8B0471C1C}" xr6:coauthVersionLast="47" xr6:coauthVersionMax="47" xr10:uidLastSave="{E16F30AE-E244-4B7C-997C-BE760B9A4552}"/>
  <bookViews>
    <workbookView xWindow="-108" yWindow="-108" windowWidth="23256" windowHeight="12456" xr2:uid="{897F680E-A734-4A0B-8138-A30D6BBFC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7" i="1" l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58" i="1"/>
  <c r="AD59" i="1"/>
  <c r="AD60" i="1"/>
  <c r="AD61" i="1"/>
  <c r="AD62" i="1"/>
  <c r="AD63" i="1"/>
  <c r="AD64" i="1"/>
  <c r="AD48" i="1"/>
  <c r="AD49" i="1"/>
  <c r="AD50" i="1"/>
  <c r="AD51" i="1"/>
  <c r="AD52" i="1"/>
  <c r="AD53" i="1"/>
  <c r="AD54" i="1"/>
  <c r="AD55" i="1"/>
  <c r="AD56" i="1"/>
  <c r="AD57" i="1"/>
  <c r="AD92" i="1"/>
  <c r="AD93" i="1"/>
  <c r="AD94" i="1"/>
  <c r="AD95" i="1"/>
  <c r="AD88" i="1"/>
  <c r="AD89" i="1"/>
  <c r="AD90" i="1"/>
  <c r="AD91" i="1"/>
  <c r="AD96" i="1"/>
  <c r="AD97" i="1"/>
  <c r="AD98" i="1"/>
  <c r="AD87" i="1"/>
  <c r="AD47" i="1"/>
  <c r="AD35" i="1"/>
  <c r="AD36" i="1"/>
  <c r="AD37" i="1"/>
  <c r="AD38" i="1"/>
  <c r="AD39" i="1"/>
  <c r="AD40" i="1"/>
  <c r="AD41" i="1"/>
  <c r="AD32" i="1"/>
  <c r="AD34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9" i="1"/>
  <c r="AD10" i="1"/>
  <c r="AD11" i="1"/>
  <c r="AD12" i="1"/>
  <c r="AD13" i="1"/>
  <c r="AD14" i="1"/>
  <c r="AD15" i="1"/>
  <c r="AD16" i="1"/>
  <c r="AD17" i="1"/>
  <c r="AD8" i="1"/>
  <c r="AD7" i="1"/>
</calcChain>
</file>

<file path=xl/sharedStrings.xml><?xml version="1.0" encoding="utf-8"?>
<sst xmlns="http://schemas.openxmlformats.org/spreadsheetml/2006/main" count="359" uniqueCount="185">
  <si>
    <t xml:space="preserve">Roll </t>
  </si>
  <si>
    <t>No</t>
  </si>
  <si>
    <t>GR Number</t>
  </si>
  <si>
    <t>23UGCS21674</t>
  </si>
  <si>
    <t>23UGCS21706</t>
  </si>
  <si>
    <t>23UGCS21736</t>
  </si>
  <si>
    <t>23UGCS21771</t>
  </si>
  <si>
    <t>23UGCS21777</t>
  </si>
  <si>
    <t xml:space="preserve">23UGCS21781 </t>
  </si>
  <si>
    <t>23UGCS21807</t>
  </si>
  <si>
    <t>23UGCS21810</t>
  </si>
  <si>
    <t>23UGCS21817</t>
  </si>
  <si>
    <t>23UGCS21822</t>
  </si>
  <si>
    <t>23UGCS21826</t>
  </si>
  <si>
    <t>23UGCS21829</t>
  </si>
  <si>
    <t>23UGCS21837</t>
  </si>
  <si>
    <t>23UGCS21840</t>
  </si>
  <si>
    <t>23UGCS21852</t>
  </si>
  <si>
    <t>23UGCS21855</t>
  </si>
  <si>
    <t>23UGCS21873</t>
  </si>
  <si>
    <t>23UGCS21878</t>
  </si>
  <si>
    <t>23UGCS21912</t>
  </si>
  <si>
    <t>23UGCS21920</t>
  </si>
  <si>
    <t>23UGCS21921</t>
  </si>
  <si>
    <t>23UGCS21922</t>
  </si>
  <si>
    <t>23UGCS21923</t>
  </si>
  <si>
    <t>23UGCS21928</t>
  </si>
  <si>
    <t>23UGCS21929</t>
  </si>
  <si>
    <t>23UGCS22065</t>
  </si>
  <si>
    <t>23UGCS22126</t>
  </si>
  <si>
    <t>23UGCS22133</t>
  </si>
  <si>
    <t>23UGCS22145</t>
  </si>
  <si>
    <t>23UGCS22157</t>
  </si>
  <si>
    <t>23UGCS22174</t>
  </si>
  <si>
    <t>23UGCS22181</t>
  </si>
  <si>
    <t>23UGCS22187</t>
  </si>
  <si>
    <t>23UGCS22193</t>
  </si>
  <si>
    <t>23UGCS22204</t>
  </si>
  <si>
    <t>24UDCS22762</t>
  </si>
  <si>
    <t>24UDCS22788</t>
  </si>
  <si>
    <t>24UDCS22795</t>
  </si>
  <si>
    <t>24UDCS23246</t>
  </si>
  <si>
    <t>24UDCS23248</t>
  </si>
  <si>
    <t>24UDCS23256</t>
  </si>
  <si>
    <t>23UGCS21734</t>
  </si>
  <si>
    <t>23UGCS21932</t>
  </si>
  <si>
    <t>23UGCS21933</t>
  </si>
  <si>
    <t xml:space="preserve">23UGCS21935 </t>
  </si>
  <si>
    <t>23UGCS21951</t>
  </si>
  <si>
    <t>23UGCS21952</t>
  </si>
  <si>
    <t>23UGCS21964</t>
  </si>
  <si>
    <t>23UGCS21965</t>
  </si>
  <si>
    <t>23UGCS21969</t>
  </si>
  <si>
    <t>23UGCS21973</t>
  </si>
  <si>
    <t>23UGCS21982</t>
  </si>
  <si>
    <t>23UGCS21990</t>
  </si>
  <si>
    <t>23UGCS21991</t>
  </si>
  <si>
    <t xml:space="preserve">23UGCS21992 </t>
  </si>
  <si>
    <t>23UGCS21993</t>
  </si>
  <si>
    <t>23UGCS21998</t>
  </si>
  <si>
    <t>23UGCS22009</t>
  </si>
  <si>
    <t>23UGCS22018</t>
  </si>
  <si>
    <t>23UGCS22027</t>
  </si>
  <si>
    <t>23UGCS22033</t>
  </si>
  <si>
    <t>23UGCS22038</t>
  </si>
  <si>
    <t>23UGCS22039</t>
  </si>
  <si>
    <t>23UGCS22042</t>
  </si>
  <si>
    <t>23UGCS22044</t>
  </si>
  <si>
    <t>23UGCS22047</t>
  </si>
  <si>
    <t>23UGCS22056</t>
  </si>
  <si>
    <t>Month</t>
  </si>
  <si>
    <t>Subject</t>
  </si>
  <si>
    <t>Theory/Practical</t>
  </si>
  <si>
    <t>Name of faculty</t>
  </si>
  <si>
    <t xml:space="preserve">No. of lectures and Practicals </t>
  </si>
  <si>
    <t>Shreya Rajendra Lambe</t>
  </si>
  <si>
    <t>Abhijit Rajendra Thombare</t>
  </si>
  <si>
    <t>Shravan Sambhaji Kapare</t>
  </si>
  <si>
    <t>Atharav Sagar chavan</t>
  </si>
  <si>
    <t>Samruddhi Sunil Sabale</t>
  </si>
  <si>
    <t>Shivani Bhimrao Nagavkar</t>
  </si>
  <si>
    <t>Rutuja Prakash Shinde</t>
  </si>
  <si>
    <t>Shubham Dada Dake</t>
  </si>
  <si>
    <t>Vikas Bapu Sawant</t>
  </si>
  <si>
    <t>Anuradha Bandu Sonawane</t>
  </si>
  <si>
    <t>Shrutika Ananda Kamble</t>
  </si>
  <si>
    <t>Sharvari Rajendra Patil</t>
  </si>
  <si>
    <t>Diksha Daryappa Sherkhane</t>
  </si>
  <si>
    <t>Radhika Ramesh Patil</t>
  </si>
  <si>
    <t>Harshvardhan Santosh Patole</t>
  </si>
  <si>
    <t>Pranali Lahuraj Chougale</t>
  </si>
  <si>
    <t>Mustkeem Sameer Shaikh</t>
  </si>
  <si>
    <t>Anushri  Anil Hanji</t>
  </si>
  <si>
    <t>Vighnesh Dhanaji Patil</t>
  </si>
  <si>
    <t>Prithviraj Shamrao Patil</t>
  </si>
  <si>
    <t>Ruturaj Mahendra Desai</t>
  </si>
  <si>
    <t>Shivam Kailas Patil</t>
  </si>
  <si>
    <t>Karuna Hindurao Kumbhar</t>
  </si>
  <si>
    <t>Shriraj Anil Kharade</t>
  </si>
  <si>
    <t>Vedant Ananda Pawar</t>
  </si>
  <si>
    <t>Yash Shankar Nimbalkar</t>
  </si>
  <si>
    <t>Ayush Santosh Raut</t>
  </si>
  <si>
    <t>Vivek Sunil Pawar</t>
  </si>
  <si>
    <t>Prachi Dipak Kasabe</t>
  </si>
  <si>
    <t>Vinay Vijay Bhosale</t>
  </si>
  <si>
    <t>Sujal Pandurang Dambe</t>
  </si>
  <si>
    <t>Pratik banda magdum</t>
  </si>
  <si>
    <t>Omkar Sanjay Patil</t>
  </si>
  <si>
    <t>Vishwajit Ananda Disale</t>
  </si>
  <si>
    <t>Kaustubh Devdatta Divekar</t>
  </si>
  <si>
    <t>Atharv Hari Lolage</t>
  </si>
  <si>
    <t>Divya Dnyaneshwar Katwate</t>
  </si>
  <si>
    <t>Sanika Rajaram Ghodake</t>
  </si>
  <si>
    <t>Sanika kantilal Patil</t>
  </si>
  <si>
    <t>Devyani Manik Patil</t>
  </si>
  <si>
    <t>Samruddhi Udaysingh Jambhale</t>
  </si>
  <si>
    <t>Kunal Harshad patil</t>
  </si>
  <si>
    <t>Aryan Ravindra Kanade</t>
  </si>
  <si>
    <t>Diksha Suresh Patil</t>
  </si>
  <si>
    <t>Megharani Samadhan Admile</t>
  </si>
  <si>
    <t>Swaroop Dattatray Patil</t>
  </si>
  <si>
    <t>Aniket Suresh Patil</t>
  </si>
  <si>
    <t>Nikhil Navnath Chinchkar</t>
  </si>
  <si>
    <t>Snehal Sarjerao Chormare</t>
  </si>
  <si>
    <t>Sarthak Avinash Sadigale</t>
  </si>
  <si>
    <t>Disha Dinesh Mane</t>
  </si>
  <si>
    <t>Shravani Shrikant Nalawade</t>
  </si>
  <si>
    <t>Sakshi Ananda Dasanhatti</t>
  </si>
  <si>
    <t>Rajvardhan Bharat Shete</t>
  </si>
  <si>
    <t>Atharv Mahesh Moholkar</t>
  </si>
  <si>
    <t>Shreyas Nivas Mane</t>
  </si>
  <si>
    <t>Prachi Prakash Rajmane</t>
  </si>
  <si>
    <t>Manas Manish Dhanawade</t>
  </si>
  <si>
    <t>Siddhi Shivaji Jadhav</t>
  </si>
  <si>
    <t>Shivam Vilas Lad</t>
  </si>
  <si>
    <t>Neha Madhav Kulkarni</t>
  </si>
  <si>
    <t>Vaishnavi Arun Patil</t>
  </si>
  <si>
    <t>Vasundhara Jiwan Gaikwad</t>
  </si>
  <si>
    <t>Shivani Sachin Nimbalkar</t>
  </si>
  <si>
    <t>Shraddha Gajanan Wagh</t>
  </si>
  <si>
    <t>Ajay Chandrakant Kharat</t>
  </si>
  <si>
    <t>23UGCS21989</t>
  </si>
  <si>
    <t>23UGCS22080</t>
  </si>
  <si>
    <t xml:space="preserve">23UGCS22090 </t>
  </si>
  <si>
    <t>23UGCS22091</t>
  </si>
  <si>
    <t>23UGCS22093</t>
  </si>
  <si>
    <t>23UGCS22117</t>
  </si>
  <si>
    <t xml:space="preserve">23UGCS22214 </t>
  </si>
  <si>
    <t>23UGCS21798</t>
  </si>
  <si>
    <t>23UGCS22101</t>
  </si>
  <si>
    <t>23UGCS21884</t>
  </si>
  <si>
    <t>23UGCS22172</t>
  </si>
  <si>
    <t>Sanika Bajirao Tambavekar</t>
  </si>
  <si>
    <t>Shreyash Sanjay Mandave</t>
  </si>
  <si>
    <t>Payal Vijaykumar Gavali</t>
  </si>
  <si>
    <t>Krutika Ashok Patil</t>
  </si>
  <si>
    <t>Sakshi Rajendra Salunkhe</t>
  </si>
  <si>
    <t>Samarjeet Sambhaji Sabale</t>
  </si>
  <si>
    <t>Gaurav Ganesh waghmare</t>
  </si>
  <si>
    <t>Om Satappa Nakate</t>
  </si>
  <si>
    <t>Th</t>
  </si>
  <si>
    <t>VNP</t>
  </si>
  <si>
    <t>Pr</t>
  </si>
  <si>
    <t>IIT</t>
  </si>
  <si>
    <t>CC</t>
  </si>
  <si>
    <t>ML</t>
  </si>
  <si>
    <t>AAP</t>
  </si>
  <si>
    <t>HMK</t>
  </si>
  <si>
    <t>TRS</t>
  </si>
  <si>
    <t>AEM</t>
  </si>
  <si>
    <t>Tut</t>
  </si>
  <si>
    <t>HPC</t>
  </si>
  <si>
    <t>AAD</t>
  </si>
  <si>
    <t>DBM</t>
  </si>
  <si>
    <t>MP-II</t>
  </si>
  <si>
    <t>SBS</t>
  </si>
  <si>
    <t>PVN</t>
  </si>
  <si>
    <t>SDM</t>
  </si>
  <si>
    <t>Attendance in %</t>
  </si>
  <si>
    <t>68.29 56.10</t>
  </si>
  <si>
    <t>WT</t>
  </si>
  <si>
    <t>C1</t>
  </si>
  <si>
    <t>C2</t>
  </si>
  <si>
    <t>STQA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</si>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</sst>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.5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20"/>
      <color rgb="FF000000"/>
      <name val="Times New Roman"/>
      <family val="1"/>
    </font>
    <font>
      <sz val="10"/>
      <color rgb="FFFFFFFF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1D63"/>
        <bgColor indexed="64"/>
      </patternFill>
    </fill>
    <fill>
      <patternFill patternType="solid">
        <fgColor rgb="FFFDDCE8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ck">
        <color rgb="FFA4C2F4"/>
      </right>
      <top style="medium">
        <color rgb="FF000000"/>
      </top>
      <bottom/>
      <diagonal/>
    </border>
    <border>
      <left style="medium">
        <color rgb="FF000000"/>
      </left>
      <right style="thick">
        <color rgb="FFA4C2F4"/>
      </right>
      <top/>
      <bottom style="medium">
        <color rgb="FF000000"/>
      </bottom>
      <diagonal/>
    </border>
    <border>
      <left/>
      <right style="thick">
        <color rgb="FFA4C2F4"/>
      </right>
      <top/>
      <bottom/>
      <diagonal/>
    </border>
    <border>
      <left/>
      <right style="thick">
        <color rgb="FFA4C2F4"/>
      </right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 style="thick">
        <color rgb="FFA4C2F4"/>
      </right>
      <top/>
      <bottom style="thin">
        <color indexed="64"/>
      </bottom>
      <diagonal/>
    </border>
    <border>
      <left style="medium">
        <color rgb="FF000000"/>
      </left>
      <right style="thick">
        <color rgb="FFA4C2F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 indent="1"/>
    </xf>
    <xf numFmtId="0" fontId="3" fillId="3" borderId="7" xfId="0" applyFont="1" applyFill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 indent="2"/>
    </xf>
    <xf numFmtId="0" fontId="1" fillId="3" borderId="8" xfId="0" applyFont="1" applyFill="1" applyBorder="1" applyAlignment="1">
      <alignment vertical="center" wrapText="1"/>
    </xf>
    <xf numFmtId="0" fontId="1" fillId="0" borderId="0" xfId="0" applyFont="1"/>
    <xf numFmtId="0" fontId="3" fillId="4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justify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 indent="1"/>
    </xf>
    <xf numFmtId="0" fontId="2" fillId="3" borderId="7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left" vertical="center" wrapText="1" indent="1"/>
    </xf>
    <xf numFmtId="0" fontId="6" fillId="3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vertical="center" wrapText="1"/>
    </xf>
    <xf numFmtId="0" fontId="1" fillId="7" borderId="1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left" vertical="center" wrapText="1" indent="2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justify" vertical="center" wrapText="1"/>
    </xf>
    <xf numFmtId="0" fontId="1" fillId="0" borderId="16" xfId="0" applyFont="1" applyBorder="1" applyAlignment="1">
      <alignment horizontal="justify"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17" fontId="5" fillId="4" borderId="10" xfId="0" applyNumberFormat="1" applyFont="1" applyFill="1" applyBorder="1" applyAlignment="1">
      <alignment horizontal="center" vertical="center" wrapText="1"/>
    </xf>
    <xf numFmtId="17" fontId="5" fillId="4" borderId="11" xfId="0" applyNumberFormat="1" applyFont="1" applyFill="1" applyBorder="1" applyAlignment="1">
      <alignment horizontal="center" vertical="center" wrapText="1"/>
    </xf>
    <xf numFmtId="17" fontId="5" fillId="4" borderId="9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top" wrapText="1"/>
    </xf>
    <xf numFmtId="0" fontId="0" fillId="7" borderId="18" xfId="0" applyFill="1" applyBorder="1" applyAlignment="1">
      <alignment horizontal="center" vertical="top" wrapText="1"/>
    </xf>
    <xf numFmtId="0" fontId="0" fillId="7" borderId="20" xfId="0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top" wrapText="1"/>
    </xf>
  </cellXfs>
  <cellStyles count="1">
    <cellStyle name="Normal" xfId="0" builtinId="0"/>
  </cellStyles>
  <dxfs count="210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7F0E-D6CA-4FFA-84AD-2CF4A1BE0C10}">
  <dimension ref="A1:AD99"/>
  <sheetViews>
    <sheetView tabSelected="1" topLeftCell="L1" zoomScale="114" workbookViewId="0">
      <selection activeCell="V10" sqref="V10"/>
    </sheetView>
  </sheetViews>
  <sheetFormatPr defaultRowHeight="14.4" x14ac:dyDescent="0.3"/>
  <cols>
    <col min="2" max="2" width="19.109375" customWidth="1"/>
    <col min="3" max="3" width="28.6640625" customWidth="1"/>
    <col min="15" max="15" width="8.88671875" style="48"/>
    <col min="30" max="30" width="11.44140625" bestFit="1" customWidth="1"/>
  </cols>
  <sheetData>
    <row r="1" spans="1:30" ht="15" thickBot="1" x14ac:dyDescent="0.35">
      <c r="A1" s="1"/>
    </row>
    <row r="2" spans="1:30" ht="15" thickBot="1" x14ac:dyDescent="0.35">
      <c r="A2" s="2"/>
      <c r="B2" s="9"/>
      <c r="C2" s="16" t="s">
        <v>70</v>
      </c>
      <c r="D2" s="59">
        <v>46054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  <c r="S2" s="59">
        <v>46082</v>
      </c>
      <c r="T2" s="60"/>
      <c r="U2" s="60"/>
      <c r="V2" s="60"/>
      <c r="W2" s="60"/>
      <c r="X2" s="60"/>
      <c r="Y2" s="60"/>
      <c r="Z2" s="60"/>
      <c r="AA2" s="60"/>
      <c r="AB2" s="60"/>
      <c r="AC2" s="60"/>
      <c r="AD2" s="61"/>
    </row>
    <row r="3" spans="1:30" x14ac:dyDescent="0.3">
      <c r="A3" s="3" t="s">
        <v>0</v>
      </c>
      <c r="B3" s="66" t="s">
        <v>2</v>
      </c>
      <c r="C3" s="67" t="s">
        <v>71</v>
      </c>
      <c r="D3" s="62" t="s">
        <v>164</v>
      </c>
      <c r="E3" s="51"/>
      <c r="F3" s="51" t="s">
        <v>165</v>
      </c>
      <c r="G3" s="51"/>
      <c r="H3" s="51" t="s">
        <v>180</v>
      </c>
      <c r="I3" s="51"/>
      <c r="J3" s="51" t="s">
        <v>183</v>
      </c>
      <c r="K3" s="53"/>
      <c r="L3" s="55" t="s">
        <v>171</v>
      </c>
      <c r="M3" s="57" t="s">
        <v>184</v>
      </c>
      <c r="N3" s="64" t="s">
        <v>174</v>
      </c>
      <c r="O3" s="73" t="s">
        <v>178</v>
      </c>
      <c r="S3" s="51" t="s">
        <v>164</v>
      </c>
      <c r="T3" s="51"/>
      <c r="U3" s="51" t="s">
        <v>165</v>
      </c>
      <c r="V3" s="51"/>
      <c r="W3" s="51" t="s">
        <v>180</v>
      </c>
      <c r="X3" s="51"/>
      <c r="Y3" s="51" t="s">
        <v>183</v>
      </c>
      <c r="Z3" s="53"/>
      <c r="AA3" s="55" t="s">
        <v>171</v>
      </c>
      <c r="AB3" s="57" t="s">
        <v>184</v>
      </c>
      <c r="AC3" s="64" t="s">
        <v>174</v>
      </c>
      <c r="AD3" s="49" t="s">
        <v>178</v>
      </c>
    </row>
    <row r="4" spans="1:30" ht="15" thickBot="1" x14ac:dyDescent="0.35">
      <c r="A4" s="4" t="s">
        <v>1</v>
      </c>
      <c r="B4" s="66"/>
      <c r="C4" s="68"/>
      <c r="D4" s="63"/>
      <c r="E4" s="52"/>
      <c r="F4" s="52"/>
      <c r="G4" s="52"/>
      <c r="H4" s="52"/>
      <c r="I4" s="52"/>
      <c r="J4" s="52"/>
      <c r="K4" s="54"/>
      <c r="L4" s="56"/>
      <c r="M4" s="58"/>
      <c r="N4" s="65"/>
      <c r="O4" s="74"/>
      <c r="S4" s="52"/>
      <c r="T4" s="52"/>
      <c r="U4" s="52"/>
      <c r="V4" s="52"/>
      <c r="W4" s="52"/>
      <c r="X4" s="52"/>
      <c r="Y4" s="52"/>
      <c r="Z4" s="54"/>
      <c r="AA4" s="56"/>
      <c r="AB4" s="58"/>
      <c r="AC4" s="65"/>
      <c r="AD4" s="50"/>
    </row>
    <row r="5" spans="1:30" ht="15" thickBot="1" x14ac:dyDescent="0.35">
      <c r="A5" s="5"/>
      <c r="B5" s="10"/>
      <c r="C5" s="17" t="s">
        <v>72</v>
      </c>
      <c r="D5" s="27" t="s">
        <v>160</v>
      </c>
      <c r="E5" s="27" t="s">
        <v>162</v>
      </c>
      <c r="F5" s="27" t="s">
        <v>160</v>
      </c>
      <c r="G5" s="17" t="s">
        <v>162</v>
      </c>
      <c r="H5" s="27" t="s">
        <v>160</v>
      </c>
      <c r="I5" s="31" t="s">
        <v>162</v>
      </c>
      <c r="J5" s="27" t="s">
        <v>160</v>
      </c>
      <c r="K5" s="31" t="s">
        <v>170</v>
      </c>
      <c r="L5" s="31" t="s">
        <v>160</v>
      </c>
      <c r="M5" s="31" t="s">
        <v>160</v>
      </c>
      <c r="N5" s="17" t="s">
        <v>162</v>
      </c>
      <c r="O5" s="75"/>
      <c r="S5" s="27" t="s">
        <v>160</v>
      </c>
      <c r="T5" s="27" t="s">
        <v>162</v>
      </c>
      <c r="U5" s="27" t="s">
        <v>160</v>
      </c>
      <c r="V5" s="17" t="s">
        <v>162</v>
      </c>
      <c r="W5" s="27" t="s">
        <v>160</v>
      </c>
      <c r="X5" s="31" t="s">
        <v>162</v>
      </c>
      <c r="Y5" s="27" t="s">
        <v>160</v>
      </c>
      <c r="Z5" s="31" t="s">
        <v>170</v>
      </c>
      <c r="AA5" s="31" t="s">
        <v>160</v>
      </c>
      <c r="AB5" s="31" t="s">
        <v>160</v>
      </c>
      <c r="AC5" s="17" t="s">
        <v>162</v>
      </c>
      <c r="AD5" s="38"/>
    </row>
    <row r="6" spans="1:30" ht="15" thickBot="1" x14ac:dyDescent="0.35">
      <c r="A6" s="6"/>
      <c r="B6" s="11"/>
      <c r="C6" s="18" t="s">
        <v>73</v>
      </c>
      <c r="D6" s="28" t="s">
        <v>161</v>
      </c>
      <c r="E6" s="28" t="s">
        <v>161</v>
      </c>
      <c r="F6" s="32" t="s">
        <v>163</v>
      </c>
      <c r="G6" s="32" t="s">
        <v>166</v>
      </c>
      <c r="H6" s="28" t="s">
        <v>167</v>
      </c>
      <c r="I6" s="28" t="s">
        <v>167</v>
      </c>
      <c r="J6" s="28" t="s">
        <v>169</v>
      </c>
      <c r="K6" s="28" t="s">
        <v>169</v>
      </c>
      <c r="L6" s="28" t="s">
        <v>172</v>
      </c>
      <c r="M6" s="28" t="s">
        <v>173</v>
      </c>
      <c r="N6" s="35" t="s">
        <v>175</v>
      </c>
      <c r="O6" s="76"/>
      <c r="S6" s="28" t="s">
        <v>161</v>
      </c>
      <c r="T6" s="28" t="s">
        <v>161</v>
      </c>
      <c r="U6" s="32" t="s">
        <v>163</v>
      </c>
      <c r="V6" s="32" t="s">
        <v>166</v>
      </c>
      <c r="W6" s="28" t="s">
        <v>167</v>
      </c>
      <c r="X6" s="28" t="s">
        <v>167</v>
      </c>
      <c r="Y6" s="28" t="s">
        <v>169</v>
      </c>
      <c r="Z6" s="28" t="s">
        <v>169</v>
      </c>
      <c r="AA6" s="28" t="s">
        <v>172</v>
      </c>
      <c r="AB6" s="28" t="s">
        <v>173</v>
      </c>
      <c r="AC6" s="35" t="s">
        <v>175</v>
      </c>
      <c r="AD6" s="39"/>
    </row>
    <row r="7" spans="1:30" ht="25.8" thickBot="1" x14ac:dyDescent="0.35">
      <c r="A7" s="7"/>
      <c r="B7" s="12" t="s">
        <v>181</v>
      </c>
      <c r="C7" s="17" t="s">
        <v>74</v>
      </c>
      <c r="D7" s="29">
        <v>6</v>
      </c>
      <c r="E7" s="29">
        <v>1</v>
      </c>
      <c r="F7" s="29">
        <v>5</v>
      </c>
      <c r="G7" s="29">
        <v>3</v>
      </c>
      <c r="H7" s="29">
        <v>5</v>
      </c>
      <c r="I7" s="29">
        <v>3</v>
      </c>
      <c r="J7" s="29">
        <v>5</v>
      </c>
      <c r="K7" s="29">
        <v>2</v>
      </c>
      <c r="L7" s="29">
        <v>4</v>
      </c>
      <c r="M7" s="29">
        <v>5</v>
      </c>
      <c r="N7" s="29">
        <v>2</v>
      </c>
      <c r="O7" s="40">
        <v>41</v>
      </c>
      <c r="S7" s="29">
        <v>5</v>
      </c>
      <c r="T7" s="29">
        <v>2</v>
      </c>
      <c r="U7" s="29">
        <v>6</v>
      </c>
      <c r="V7" s="29">
        <v>4</v>
      </c>
      <c r="W7" s="29">
        <v>4</v>
      </c>
      <c r="X7" s="29">
        <v>4</v>
      </c>
      <c r="Y7" s="29">
        <v>4</v>
      </c>
      <c r="Z7" s="29">
        <v>3</v>
      </c>
      <c r="AA7" s="29">
        <v>5</v>
      </c>
      <c r="AB7" s="29">
        <v>4</v>
      </c>
      <c r="AC7" s="29">
        <v>3</v>
      </c>
      <c r="AD7" s="40">
        <f>SUM(S7:AC7)</f>
        <v>44</v>
      </c>
    </row>
    <row r="8" spans="1:30" ht="15" thickBot="1" x14ac:dyDescent="0.35">
      <c r="A8" s="8">
        <v>201</v>
      </c>
      <c r="B8" s="13" t="s">
        <v>3</v>
      </c>
      <c r="C8" s="19" t="s">
        <v>100</v>
      </c>
      <c r="D8" s="29">
        <v>5</v>
      </c>
      <c r="E8" s="29">
        <v>1</v>
      </c>
      <c r="F8" s="29">
        <v>4</v>
      </c>
      <c r="G8" s="29">
        <v>3</v>
      </c>
      <c r="H8" s="29">
        <v>5</v>
      </c>
      <c r="I8" s="29">
        <v>2</v>
      </c>
      <c r="J8" s="29">
        <v>4</v>
      </c>
      <c r="K8" s="29">
        <v>2</v>
      </c>
      <c r="L8" s="29">
        <v>4</v>
      </c>
      <c r="M8" s="29">
        <v>5</v>
      </c>
      <c r="N8" s="29">
        <v>2</v>
      </c>
      <c r="O8" s="41">
        <v>90.24</v>
      </c>
      <c r="S8" s="29">
        <v>5</v>
      </c>
      <c r="T8" s="29">
        <v>1</v>
      </c>
      <c r="U8" s="29">
        <v>6</v>
      </c>
      <c r="V8" s="29">
        <v>3</v>
      </c>
      <c r="W8" s="29">
        <v>3</v>
      </c>
      <c r="X8" s="29">
        <v>4</v>
      </c>
      <c r="Y8" s="29">
        <v>4</v>
      </c>
      <c r="Z8" s="29">
        <v>2</v>
      </c>
      <c r="AA8" s="29">
        <v>4</v>
      </c>
      <c r="AB8" s="29">
        <v>3</v>
      </c>
      <c r="AC8" s="29">
        <v>3</v>
      </c>
      <c r="AD8" s="41">
        <f>ROUND((SUM(S8:AC8)/$AD$7)*100,2)</f>
        <v>86.36</v>
      </c>
    </row>
    <row r="9" spans="1:30" ht="15" thickBot="1" x14ac:dyDescent="0.35">
      <c r="A9" s="8">
        <v>202</v>
      </c>
      <c r="B9" s="14" t="s">
        <v>4</v>
      </c>
      <c r="C9" s="15" t="s">
        <v>153</v>
      </c>
      <c r="D9" s="30">
        <v>3</v>
      </c>
      <c r="E9" s="30">
        <v>1</v>
      </c>
      <c r="F9" s="30">
        <v>2</v>
      </c>
      <c r="G9" s="30">
        <v>2</v>
      </c>
      <c r="H9" s="30">
        <v>3</v>
      </c>
      <c r="I9" s="30">
        <v>2</v>
      </c>
      <c r="J9" s="30">
        <v>1</v>
      </c>
      <c r="K9" s="30">
        <v>0</v>
      </c>
      <c r="L9" s="30">
        <v>3</v>
      </c>
      <c r="M9" s="30">
        <v>2</v>
      </c>
      <c r="N9" s="30">
        <v>1</v>
      </c>
      <c r="O9" s="69">
        <v>48.78</v>
      </c>
      <c r="S9" s="30">
        <v>3</v>
      </c>
      <c r="T9" s="30">
        <v>2</v>
      </c>
      <c r="U9" s="30">
        <v>5</v>
      </c>
      <c r="V9" s="30">
        <v>2</v>
      </c>
      <c r="W9" s="30">
        <v>3</v>
      </c>
      <c r="X9" s="30">
        <v>2</v>
      </c>
      <c r="Y9" s="30">
        <v>1</v>
      </c>
      <c r="Z9" s="30">
        <v>3</v>
      </c>
      <c r="AA9" s="30">
        <v>3</v>
      </c>
      <c r="AB9" s="30">
        <v>2</v>
      </c>
      <c r="AC9" s="30">
        <v>1</v>
      </c>
      <c r="AD9" s="41">
        <f t="shared" ref="AD9:AD41" si="0">ROUND((SUM(S9:AC9)/$AD$7)*100,2)</f>
        <v>61.36</v>
      </c>
    </row>
    <row r="10" spans="1:30" ht="15" thickBot="1" x14ac:dyDescent="0.35">
      <c r="A10" s="8">
        <v>203</v>
      </c>
      <c r="B10" s="14" t="s">
        <v>5</v>
      </c>
      <c r="C10" s="19" t="s">
        <v>154</v>
      </c>
      <c r="D10" s="30">
        <v>3</v>
      </c>
      <c r="E10" s="30">
        <v>0</v>
      </c>
      <c r="F10" s="30">
        <v>3</v>
      </c>
      <c r="G10" s="30">
        <v>2</v>
      </c>
      <c r="H10" s="30">
        <v>2</v>
      </c>
      <c r="I10" s="30">
        <v>2</v>
      </c>
      <c r="J10" s="30">
        <v>4</v>
      </c>
      <c r="K10" s="30">
        <v>2</v>
      </c>
      <c r="L10" s="30">
        <v>2</v>
      </c>
      <c r="M10" s="30">
        <v>3</v>
      </c>
      <c r="N10" s="30">
        <v>1</v>
      </c>
      <c r="O10" s="71">
        <v>58.54</v>
      </c>
      <c r="S10" s="30">
        <v>3</v>
      </c>
      <c r="T10" s="30">
        <v>0</v>
      </c>
      <c r="U10" s="30">
        <v>4</v>
      </c>
      <c r="V10" s="30">
        <v>3</v>
      </c>
      <c r="W10" s="30">
        <v>3</v>
      </c>
      <c r="X10" s="30">
        <v>3</v>
      </c>
      <c r="Y10" s="30">
        <v>4</v>
      </c>
      <c r="Z10" s="30">
        <v>3</v>
      </c>
      <c r="AA10" s="30">
        <v>5</v>
      </c>
      <c r="AB10" s="30">
        <v>3</v>
      </c>
      <c r="AC10" s="30">
        <v>2</v>
      </c>
      <c r="AD10" s="41">
        <f t="shared" si="0"/>
        <v>75</v>
      </c>
    </row>
    <row r="11" spans="1:30" ht="15" thickBot="1" x14ac:dyDescent="0.35">
      <c r="A11" s="8">
        <v>204</v>
      </c>
      <c r="B11" s="14" t="s">
        <v>6</v>
      </c>
      <c r="C11" s="15" t="s">
        <v>155</v>
      </c>
      <c r="D11" s="30">
        <v>1</v>
      </c>
      <c r="E11" s="30">
        <v>1</v>
      </c>
      <c r="F11" s="30">
        <v>3</v>
      </c>
      <c r="G11" s="30">
        <v>2</v>
      </c>
      <c r="H11" s="30">
        <v>2</v>
      </c>
      <c r="I11" s="30">
        <v>1</v>
      </c>
      <c r="J11" s="30">
        <v>3</v>
      </c>
      <c r="K11" s="30">
        <v>2</v>
      </c>
      <c r="L11" s="30">
        <v>2</v>
      </c>
      <c r="M11" s="30">
        <v>2</v>
      </c>
      <c r="N11" s="30">
        <v>1</v>
      </c>
      <c r="O11" s="70">
        <v>48.78</v>
      </c>
      <c r="S11" s="30">
        <v>1</v>
      </c>
      <c r="T11" s="30">
        <v>1</v>
      </c>
      <c r="U11" s="30">
        <v>5</v>
      </c>
      <c r="V11" s="30">
        <v>2</v>
      </c>
      <c r="W11" s="30">
        <v>2</v>
      </c>
      <c r="X11" s="30">
        <v>1</v>
      </c>
      <c r="Y11" s="30">
        <v>3</v>
      </c>
      <c r="Z11" s="30">
        <v>2</v>
      </c>
      <c r="AA11" s="30">
        <v>5</v>
      </c>
      <c r="AB11" s="30">
        <v>4</v>
      </c>
      <c r="AC11" s="30">
        <v>2</v>
      </c>
      <c r="AD11" s="41">
        <f t="shared" si="0"/>
        <v>63.64</v>
      </c>
    </row>
    <row r="12" spans="1:30" ht="15" thickBot="1" x14ac:dyDescent="0.35">
      <c r="A12" s="8">
        <v>205</v>
      </c>
      <c r="B12" s="14" t="s">
        <v>7</v>
      </c>
      <c r="C12" s="19" t="s">
        <v>156</v>
      </c>
      <c r="D12" s="30">
        <v>1</v>
      </c>
      <c r="E12" s="30">
        <v>1</v>
      </c>
      <c r="F12" s="30">
        <v>3</v>
      </c>
      <c r="G12" s="30">
        <v>2</v>
      </c>
      <c r="H12" s="30">
        <v>5</v>
      </c>
      <c r="I12" s="30">
        <v>2</v>
      </c>
      <c r="J12" s="30">
        <v>2</v>
      </c>
      <c r="K12" s="30">
        <v>2</v>
      </c>
      <c r="L12" s="30">
        <v>2</v>
      </c>
      <c r="M12" s="30">
        <v>3</v>
      </c>
      <c r="N12" s="30">
        <v>1</v>
      </c>
      <c r="O12" s="69">
        <v>58.54</v>
      </c>
      <c r="S12" s="30">
        <v>1</v>
      </c>
      <c r="T12" s="30">
        <v>2</v>
      </c>
      <c r="U12" s="30">
        <v>4</v>
      </c>
      <c r="V12" s="30">
        <v>4</v>
      </c>
      <c r="W12" s="30">
        <v>3</v>
      </c>
      <c r="X12" s="30">
        <v>3</v>
      </c>
      <c r="Y12" s="30">
        <v>2</v>
      </c>
      <c r="Z12" s="30">
        <v>3</v>
      </c>
      <c r="AA12" s="30">
        <v>5</v>
      </c>
      <c r="AB12" s="30">
        <v>4</v>
      </c>
      <c r="AC12" s="30">
        <v>2</v>
      </c>
      <c r="AD12" s="41">
        <f t="shared" si="0"/>
        <v>75</v>
      </c>
    </row>
    <row r="13" spans="1:30" ht="15" thickBot="1" x14ac:dyDescent="0.35">
      <c r="A13" s="8">
        <v>206</v>
      </c>
      <c r="B13" s="13" t="s">
        <v>8</v>
      </c>
      <c r="C13" s="15" t="s">
        <v>157</v>
      </c>
      <c r="D13" s="29">
        <v>4</v>
      </c>
      <c r="E13" s="29">
        <v>1</v>
      </c>
      <c r="F13" s="29">
        <v>5</v>
      </c>
      <c r="G13" s="29">
        <v>3</v>
      </c>
      <c r="H13" s="29">
        <v>4</v>
      </c>
      <c r="I13" s="29">
        <v>2</v>
      </c>
      <c r="J13" s="29">
        <v>5</v>
      </c>
      <c r="K13" s="29">
        <v>2</v>
      </c>
      <c r="L13" s="29">
        <v>3</v>
      </c>
      <c r="M13" s="29">
        <v>5</v>
      </c>
      <c r="N13" s="29">
        <v>1</v>
      </c>
      <c r="O13" s="72">
        <v>85.37</v>
      </c>
      <c r="S13" s="29">
        <v>4</v>
      </c>
      <c r="T13" s="29">
        <v>1</v>
      </c>
      <c r="U13" s="29">
        <v>2</v>
      </c>
      <c r="V13" s="29">
        <v>3</v>
      </c>
      <c r="W13" s="29">
        <v>1</v>
      </c>
      <c r="X13" s="29">
        <v>4</v>
      </c>
      <c r="Y13" s="29">
        <v>3</v>
      </c>
      <c r="Z13" s="29">
        <v>2</v>
      </c>
      <c r="AA13" s="30">
        <v>5</v>
      </c>
      <c r="AB13" s="30">
        <v>4</v>
      </c>
      <c r="AC13" s="30">
        <v>2</v>
      </c>
      <c r="AD13" s="41">
        <f t="shared" si="0"/>
        <v>70.45</v>
      </c>
    </row>
    <row r="14" spans="1:30" ht="15" thickBot="1" x14ac:dyDescent="0.35">
      <c r="A14" s="8">
        <v>207</v>
      </c>
      <c r="B14" s="14" t="s">
        <v>9</v>
      </c>
      <c r="C14" s="19" t="s">
        <v>101</v>
      </c>
      <c r="D14" s="30">
        <v>3</v>
      </c>
      <c r="E14" s="30">
        <v>1</v>
      </c>
      <c r="F14" s="30">
        <v>4</v>
      </c>
      <c r="G14" s="30">
        <v>3</v>
      </c>
      <c r="H14" s="30">
        <v>4</v>
      </c>
      <c r="I14" s="30">
        <v>1</v>
      </c>
      <c r="J14" s="30">
        <v>4</v>
      </c>
      <c r="K14" s="30">
        <v>2</v>
      </c>
      <c r="L14" s="30">
        <v>3</v>
      </c>
      <c r="M14" s="30">
        <v>3</v>
      </c>
      <c r="N14" s="30">
        <v>2</v>
      </c>
      <c r="O14" s="43">
        <v>73.17</v>
      </c>
      <c r="S14" s="30">
        <v>3</v>
      </c>
      <c r="T14" s="30">
        <v>2</v>
      </c>
      <c r="U14" s="30">
        <v>5</v>
      </c>
      <c r="V14" s="30">
        <v>4</v>
      </c>
      <c r="W14" s="30">
        <v>2</v>
      </c>
      <c r="X14" s="30">
        <v>4</v>
      </c>
      <c r="Y14" s="30">
        <v>4</v>
      </c>
      <c r="Z14" s="30">
        <v>2</v>
      </c>
      <c r="AA14" s="30">
        <v>3</v>
      </c>
      <c r="AB14" s="30">
        <v>4</v>
      </c>
      <c r="AC14" s="30">
        <v>2</v>
      </c>
      <c r="AD14" s="41">
        <f t="shared" si="0"/>
        <v>79.55</v>
      </c>
    </row>
    <row r="15" spans="1:30" ht="15" thickBot="1" x14ac:dyDescent="0.35">
      <c r="A15" s="8">
        <v>208</v>
      </c>
      <c r="B15" s="13" t="s">
        <v>10</v>
      </c>
      <c r="C15" s="15" t="s">
        <v>102</v>
      </c>
      <c r="D15" s="29">
        <v>3</v>
      </c>
      <c r="E15" s="29">
        <v>1</v>
      </c>
      <c r="F15" s="29">
        <v>4</v>
      </c>
      <c r="G15" s="29">
        <v>3</v>
      </c>
      <c r="H15" s="29">
        <v>3</v>
      </c>
      <c r="I15" s="29">
        <v>2</v>
      </c>
      <c r="J15" s="29">
        <v>5</v>
      </c>
      <c r="K15" s="29">
        <v>2</v>
      </c>
      <c r="L15" s="29">
        <v>3</v>
      </c>
      <c r="M15" s="29">
        <v>4</v>
      </c>
      <c r="N15" s="29">
        <v>2</v>
      </c>
      <c r="O15" s="41">
        <v>78.05</v>
      </c>
      <c r="S15" s="29">
        <v>3</v>
      </c>
      <c r="T15" s="29">
        <v>2</v>
      </c>
      <c r="U15" s="29">
        <v>6</v>
      </c>
      <c r="V15" s="29">
        <v>3</v>
      </c>
      <c r="W15" s="29">
        <v>3</v>
      </c>
      <c r="X15" s="29">
        <v>3</v>
      </c>
      <c r="Y15" s="29">
        <v>3</v>
      </c>
      <c r="Z15" s="29">
        <v>2</v>
      </c>
      <c r="AA15" s="29">
        <v>3</v>
      </c>
      <c r="AB15" s="30">
        <v>4</v>
      </c>
      <c r="AC15" s="29">
        <v>2</v>
      </c>
      <c r="AD15" s="41">
        <f t="shared" si="0"/>
        <v>77.27</v>
      </c>
    </row>
    <row r="16" spans="1:30" ht="15" thickBot="1" x14ac:dyDescent="0.35">
      <c r="A16" s="8">
        <v>209</v>
      </c>
      <c r="B16" s="14" t="s">
        <v>11</v>
      </c>
      <c r="C16" s="19" t="s">
        <v>103</v>
      </c>
      <c r="D16" s="30">
        <v>1</v>
      </c>
      <c r="E16" s="30">
        <v>0</v>
      </c>
      <c r="F16" s="30">
        <v>1</v>
      </c>
      <c r="G16" s="30">
        <v>2</v>
      </c>
      <c r="H16" s="30">
        <v>4</v>
      </c>
      <c r="I16" s="30">
        <v>0</v>
      </c>
      <c r="J16" s="30">
        <v>2</v>
      </c>
      <c r="K16" s="30">
        <v>2</v>
      </c>
      <c r="L16" s="30">
        <v>1</v>
      </c>
      <c r="M16" s="30">
        <v>1</v>
      </c>
      <c r="N16" s="30">
        <v>0</v>
      </c>
      <c r="O16" s="43">
        <v>34.15</v>
      </c>
      <c r="S16" s="30">
        <v>2</v>
      </c>
      <c r="T16" s="30">
        <v>0</v>
      </c>
      <c r="U16" s="30">
        <v>2</v>
      </c>
      <c r="V16" s="30">
        <v>4</v>
      </c>
      <c r="W16" s="30">
        <v>3</v>
      </c>
      <c r="X16" s="30">
        <v>3</v>
      </c>
      <c r="Y16" s="30">
        <v>2</v>
      </c>
      <c r="Z16" s="30">
        <v>2</v>
      </c>
      <c r="AA16" s="30">
        <v>1</v>
      </c>
      <c r="AB16" s="30">
        <v>4</v>
      </c>
      <c r="AC16" s="30">
        <v>0</v>
      </c>
      <c r="AD16" s="41">
        <f t="shared" si="0"/>
        <v>52.27</v>
      </c>
    </row>
    <row r="17" spans="1:30" ht="15" thickBot="1" x14ac:dyDescent="0.35">
      <c r="A17" s="8">
        <v>210</v>
      </c>
      <c r="B17" s="13" t="s">
        <v>12</v>
      </c>
      <c r="C17" s="15" t="s">
        <v>104</v>
      </c>
      <c r="D17" s="29">
        <v>2</v>
      </c>
      <c r="E17" s="29">
        <v>1</v>
      </c>
      <c r="F17" s="29">
        <v>4</v>
      </c>
      <c r="G17" s="29">
        <v>3</v>
      </c>
      <c r="H17" s="29">
        <v>4</v>
      </c>
      <c r="I17" s="29">
        <v>1</v>
      </c>
      <c r="J17" s="29">
        <v>4</v>
      </c>
      <c r="K17" s="29">
        <v>2</v>
      </c>
      <c r="L17" s="29">
        <v>3</v>
      </c>
      <c r="M17" s="29">
        <v>5</v>
      </c>
      <c r="N17" s="29">
        <v>2</v>
      </c>
      <c r="O17" s="41">
        <v>75.61</v>
      </c>
      <c r="S17" s="29">
        <v>2</v>
      </c>
      <c r="T17" s="29">
        <v>1</v>
      </c>
      <c r="U17" s="29">
        <v>5</v>
      </c>
      <c r="V17" s="29">
        <v>3</v>
      </c>
      <c r="W17" s="29">
        <v>4</v>
      </c>
      <c r="X17" s="29">
        <v>4</v>
      </c>
      <c r="Y17" s="29">
        <v>4</v>
      </c>
      <c r="Z17" s="29">
        <v>3</v>
      </c>
      <c r="AA17" s="29">
        <v>5</v>
      </c>
      <c r="AB17" s="30">
        <v>4</v>
      </c>
      <c r="AC17" s="29">
        <v>3</v>
      </c>
      <c r="AD17" s="41">
        <f t="shared" si="0"/>
        <v>86.36</v>
      </c>
    </row>
    <row r="18" spans="1:30" ht="15" thickBot="1" x14ac:dyDescent="0.35">
      <c r="A18" s="8">
        <v>211</v>
      </c>
      <c r="B18" s="14" t="s">
        <v>13</v>
      </c>
      <c r="C18" s="19" t="s">
        <v>105</v>
      </c>
      <c r="D18" s="30">
        <v>2</v>
      </c>
      <c r="E18" s="30">
        <v>1</v>
      </c>
      <c r="F18" s="30">
        <v>3</v>
      </c>
      <c r="G18" s="30">
        <v>3</v>
      </c>
      <c r="H18" s="30">
        <v>5</v>
      </c>
      <c r="I18" s="30">
        <v>2</v>
      </c>
      <c r="J18" s="30">
        <v>2</v>
      </c>
      <c r="K18" s="30">
        <v>2</v>
      </c>
      <c r="L18" s="30">
        <v>2</v>
      </c>
      <c r="M18" s="30">
        <v>3</v>
      </c>
      <c r="N18" s="30">
        <v>1</v>
      </c>
      <c r="O18" s="43">
        <v>63.41</v>
      </c>
      <c r="S18" s="30">
        <v>2</v>
      </c>
      <c r="T18" s="30">
        <v>2</v>
      </c>
      <c r="U18" s="30">
        <v>6</v>
      </c>
      <c r="V18" s="30">
        <v>4</v>
      </c>
      <c r="W18" s="30">
        <v>2</v>
      </c>
      <c r="X18" s="30">
        <v>4</v>
      </c>
      <c r="Y18" s="30">
        <v>2</v>
      </c>
      <c r="Z18" s="29">
        <v>3</v>
      </c>
      <c r="AA18" s="29">
        <v>5</v>
      </c>
      <c r="AB18" s="30">
        <v>4</v>
      </c>
      <c r="AC18" s="29">
        <v>3</v>
      </c>
      <c r="AD18" s="41">
        <f t="shared" si="0"/>
        <v>84.09</v>
      </c>
    </row>
    <row r="19" spans="1:30" ht="15" thickBot="1" x14ac:dyDescent="0.35">
      <c r="A19" s="8">
        <v>212</v>
      </c>
      <c r="B19" s="13" t="s">
        <v>14</v>
      </c>
      <c r="C19" s="15" t="s">
        <v>106</v>
      </c>
      <c r="D19" s="29">
        <v>4</v>
      </c>
      <c r="E19" s="29">
        <v>1</v>
      </c>
      <c r="F19" s="29">
        <v>4</v>
      </c>
      <c r="G19" s="29">
        <v>3</v>
      </c>
      <c r="H19" s="29">
        <v>4</v>
      </c>
      <c r="I19" s="29">
        <v>1</v>
      </c>
      <c r="J19" s="29">
        <v>4</v>
      </c>
      <c r="K19" s="29">
        <v>2</v>
      </c>
      <c r="L19" s="29">
        <v>4</v>
      </c>
      <c r="M19" s="29">
        <v>4</v>
      </c>
      <c r="N19" s="29">
        <v>1</v>
      </c>
      <c r="O19" s="41">
        <v>78.05</v>
      </c>
      <c r="S19" s="29">
        <v>4</v>
      </c>
      <c r="T19" s="29">
        <v>2</v>
      </c>
      <c r="U19" s="29">
        <v>4</v>
      </c>
      <c r="V19" s="29">
        <v>3</v>
      </c>
      <c r="W19" s="29">
        <v>4</v>
      </c>
      <c r="X19" s="29">
        <v>4</v>
      </c>
      <c r="Y19" s="29">
        <v>4</v>
      </c>
      <c r="Z19" s="29">
        <v>3</v>
      </c>
      <c r="AA19" s="29">
        <v>5</v>
      </c>
      <c r="AB19" s="29">
        <v>4</v>
      </c>
      <c r="AC19" s="29">
        <v>3</v>
      </c>
      <c r="AD19" s="41">
        <f t="shared" si="0"/>
        <v>90.91</v>
      </c>
    </row>
    <row r="20" spans="1:30" ht="15" thickBot="1" x14ac:dyDescent="0.35">
      <c r="A20" s="8">
        <v>213</v>
      </c>
      <c r="B20" s="14" t="s">
        <v>15</v>
      </c>
      <c r="C20" s="19" t="s">
        <v>107</v>
      </c>
      <c r="D20" s="30">
        <v>2</v>
      </c>
      <c r="E20" s="30">
        <v>1</v>
      </c>
      <c r="F20" s="30">
        <v>3</v>
      </c>
      <c r="G20" s="30">
        <v>2</v>
      </c>
      <c r="H20" s="30">
        <v>5</v>
      </c>
      <c r="I20" s="30">
        <v>1</v>
      </c>
      <c r="J20" s="30">
        <v>5</v>
      </c>
      <c r="K20" s="30">
        <v>2</v>
      </c>
      <c r="L20" s="30">
        <v>3</v>
      </c>
      <c r="M20" s="30">
        <v>3</v>
      </c>
      <c r="N20" s="30">
        <v>2</v>
      </c>
      <c r="O20" s="43">
        <v>70.73</v>
      </c>
      <c r="S20" s="30">
        <v>2</v>
      </c>
      <c r="T20" s="30">
        <v>2</v>
      </c>
      <c r="U20" s="30">
        <v>3</v>
      </c>
      <c r="V20" s="30">
        <v>4</v>
      </c>
      <c r="W20" s="30">
        <v>2</v>
      </c>
      <c r="X20" s="30">
        <v>4</v>
      </c>
      <c r="Y20" s="30">
        <v>3</v>
      </c>
      <c r="Z20" s="29">
        <v>3</v>
      </c>
      <c r="AA20" s="29">
        <v>5</v>
      </c>
      <c r="AB20" s="30">
        <v>3</v>
      </c>
      <c r="AC20" s="29">
        <v>3</v>
      </c>
      <c r="AD20" s="41">
        <f t="shared" si="0"/>
        <v>77.27</v>
      </c>
    </row>
    <row r="21" spans="1:30" ht="15" thickBot="1" x14ac:dyDescent="0.35">
      <c r="A21" s="8">
        <v>214</v>
      </c>
      <c r="B21" s="13" t="s">
        <v>16</v>
      </c>
      <c r="C21" s="15" t="s">
        <v>108</v>
      </c>
      <c r="D21" s="29">
        <v>4</v>
      </c>
      <c r="E21" s="29">
        <v>1</v>
      </c>
      <c r="F21" s="29">
        <v>5</v>
      </c>
      <c r="G21" s="29">
        <v>3</v>
      </c>
      <c r="H21" s="29">
        <v>4</v>
      </c>
      <c r="I21" s="29">
        <v>2</v>
      </c>
      <c r="J21" s="29">
        <v>5</v>
      </c>
      <c r="K21" s="29">
        <v>2</v>
      </c>
      <c r="L21" s="29">
        <v>3</v>
      </c>
      <c r="M21" s="29">
        <v>5</v>
      </c>
      <c r="N21" s="29">
        <v>1</v>
      </c>
      <c r="O21" s="41">
        <v>85.37</v>
      </c>
      <c r="S21" s="29">
        <v>4</v>
      </c>
      <c r="T21" s="29">
        <v>2</v>
      </c>
      <c r="U21" s="29">
        <v>5</v>
      </c>
      <c r="V21" s="29">
        <v>1</v>
      </c>
      <c r="W21" s="29">
        <v>4</v>
      </c>
      <c r="X21" s="29">
        <v>2</v>
      </c>
      <c r="Y21" s="29">
        <v>2</v>
      </c>
      <c r="Z21" s="29">
        <v>3</v>
      </c>
      <c r="AA21" s="29">
        <v>5</v>
      </c>
      <c r="AB21" s="29">
        <v>4</v>
      </c>
      <c r="AC21" s="29">
        <v>3</v>
      </c>
      <c r="AD21" s="41">
        <f t="shared" si="0"/>
        <v>79.55</v>
      </c>
    </row>
    <row r="22" spans="1:30" ht="15" thickBot="1" x14ac:dyDescent="0.35">
      <c r="A22" s="8">
        <v>215</v>
      </c>
      <c r="B22" s="14" t="s">
        <v>17</v>
      </c>
      <c r="C22" s="19" t="s">
        <v>109</v>
      </c>
      <c r="D22" s="30">
        <v>1</v>
      </c>
      <c r="E22" s="30">
        <v>0</v>
      </c>
      <c r="F22" s="30">
        <v>2</v>
      </c>
      <c r="G22" s="30">
        <v>2</v>
      </c>
      <c r="H22" s="30">
        <v>5</v>
      </c>
      <c r="I22" s="30">
        <v>1</v>
      </c>
      <c r="J22" s="30">
        <v>3</v>
      </c>
      <c r="K22" s="30">
        <v>2</v>
      </c>
      <c r="L22" s="30">
        <v>1</v>
      </c>
      <c r="M22" s="30">
        <v>2</v>
      </c>
      <c r="N22" s="30">
        <v>2</v>
      </c>
      <c r="O22" s="43">
        <v>51.22</v>
      </c>
      <c r="S22" s="30">
        <v>2</v>
      </c>
      <c r="T22" s="30">
        <v>0</v>
      </c>
      <c r="U22" s="30">
        <v>2</v>
      </c>
      <c r="V22" s="30">
        <v>2</v>
      </c>
      <c r="W22" s="30">
        <v>1</v>
      </c>
      <c r="X22" s="30">
        <v>4</v>
      </c>
      <c r="Y22" s="30">
        <v>3</v>
      </c>
      <c r="Z22" s="29">
        <v>3</v>
      </c>
      <c r="AA22" s="29">
        <v>5</v>
      </c>
      <c r="AB22" s="29">
        <v>4</v>
      </c>
      <c r="AC22" s="29">
        <v>3</v>
      </c>
      <c r="AD22" s="41">
        <f t="shared" si="0"/>
        <v>65.91</v>
      </c>
    </row>
    <row r="23" spans="1:30" ht="15" thickBot="1" x14ac:dyDescent="0.35">
      <c r="A23" s="8">
        <v>216</v>
      </c>
      <c r="B23" s="13" t="s">
        <v>18</v>
      </c>
      <c r="C23" s="15" t="s">
        <v>158</v>
      </c>
      <c r="D23" s="29">
        <v>4</v>
      </c>
      <c r="E23" s="29">
        <v>1</v>
      </c>
      <c r="F23" s="29">
        <v>3</v>
      </c>
      <c r="G23" s="29">
        <v>3</v>
      </c>
      <c r="H23" s="29">
        <v>5</v>
      </c>
      <c r="I23" s="29">
        <v>2</v>
      </c>
      <c r="J23" s="29">
        <v>3</v>
      </c>
      <c r="K23" s="29">
        <v>2</v>
      </c>
      <c r="L23" s="29">
        <v>4</v>
      </c>
      <c r="M23" s="29">
        <v>5</v>
      </c>
      <c r="N23" s="29">
        <v>1</v>
      </c>
      <c r="O23" s="41">
        <v>80.489999999999995</v>
      </c>
      <c r="S23" s="29">
        <v>4</v>
      </c>
      <c r="T23" s="29">
        <v>2</v>
      </c>
      <c r="U23" s="29">
        <v>3</v>
      </c>
      <c r="V23" s="29">
        <v>4</v>
      </c>
      <c r="W23" s="29">
        <v>4</v>
      </c>
      <c r="X23" s="29">
        <v>3</v>
      </c>
      <c r="Y23" s="29">
        <v>3</v>
      </c>
      <c r="Z23" s="29">
        <v>3</v>
      </c>
      <c r="AA23" s="29">
        <v>4</v>
      </c>
      <c r="AB23" s="29">
        <v>4</v>
      </c>
      <c r="AC23" s="29">
        <v>1</v>
      </c>
      <c r="AD23" s="41">
        <f t="shared" si="0"/>
        <v>79.55</v>
      </c>
    </row>
    <row r="24" spans="1:30" ht="15" thickBot="1" x14ac:dyDescent="0.35">
      <c r="A24" s="8">
        <v>217</v>
      </c>
      <c r="B24" s="14" t="s">
        <v>19</v>
      </c>
      <c r="C24" s="19" t="s">
        <v>110</v>
      </c>
      <c r="D24" s="30">
        <v>2</v>
      </c>
      <c r="E24" s="30">
        <v>1</v>
      </c>
      <c r="F24" s="30">
        <v>1</v>
      </c>
      <c r="G24" s="30">
        <v>2</v>
      </c>
      <c r="H24" s="30">
        <v>5</v>
      </c>
      <c r="I24" s="30">
        <v>1</v>
      </c>
      <c r="J24" s="30">
        <v>3</v>
      </c>
      <c r="K24" s="30">
        <v>2</v>
      </c>
      <c r="L24" s="30">
        <v>3</v>
      </c>
      <c r="M24" s="30">
        <v>2</v>
      </c>
      <c r="N24" s="30">
        <v>2</v>
      </c>
      <c r="O24" s="43">
        <v>58.54</v>
      </c>
      <c r="S24" s="30">
        <v>2</v>
      </c>
      <c r="T24" s="30">
        <v>2</v>
      </c>
      <c r="U24" s="30">
        <v>5</v>
      </c>
      <c r="V24" s="30">
        <v>2</v>
      </c>
      <c r="W24" s="30">
        <v>4</v>
      </c>
      <c r="X24" s="30">
        <v>4</v>
      </c>
      <c r="Y24" s="30">
        <v>3</v>
      </c>
      <c r="Z24" s="30">
        <v>2</v>
      </c>
      <c r="AA24" s="30">
        <v>3</v>
      </c>
      <c r="AB24" s="29">
        <v>4</v>
      </c>
      <c r="AC24" s="30">
        <v>2</v>
      </c>
      <c r="AD24" s="41">
        <f t="shared" si="0"/>
        <v>75</v>
      </c>
    </row>
    <row r="25" spans="1:30" ht="15" thickBot="1" x14ac:dyDescent="0.35">
      <c r="A25" s="8">
        <v>218</v>
      </c>
      <c r="B25" s="14" t="s">
        <v>20</v>
      </c>
      <c r="C25" s="15" t="s">
        <v>111</v>
      </c>
      <c r="D25" s="30">
        <v>2</v>
      </c>
      <c r="E25" s="30">
        <v>1</v>
      </c>
      <c r="F25" s="30">
        <v>3</v>
      </c>
      <c r="G25" s="30">
        <v>2</v>
      </c>
      <c r="H25" s="30">
        <v>4</v>
      </c>
      <c r="I25" s="30">
        <v>2</v>
      </c>
      <c r="J25" s="30">
        <v>3</v>
      </c>
      <c r="K25" s="30">
        <v>2</v>
      </c>
      <c r="L25" s="30">
        <v>3</v>
      </c>
      <c r="M25" s="30">
        <v>3</v>
      </c>
      <c r="N25" s="30">
        <v>1</v>
      </c>
      <c r="O25" s="43">
        <v>63.41</v>
      </c>
      <c r="S25" s="30">
        <v>4</v>
      </c>
      <c r="T25" s="30">
        <v>2</v>
      </c>
      <c r="U25" s="30">
        <v>4</v>
      </c>
      <c r="V25" s="30">
        <v>2</v>
      </c>
      <c r="W25" s="30">
        <v>4</v>
      </c>
      <c r="X25" s="30">
        <v>3</v>
      </c>
      <c r="Y25" s="30">
        <v>3</v>
      </c>
      <c r="Z25" s="30">
        <v>2</v>
      </c>
      <c r="AA25" s="30">
        <v>3</v>
      </c>
      <c r="AB25" s="29">
        <v>4</v>
      </c>
      <c r="AC25" s="30">
        <v>2</v>
      </c>
      <c r="AD25" s="41">
        <f t="shared" si="0"/>
        <v>75</v>
      </c>
    </row>
    <row r="26" spans="1:30" ht="15" thickBot="1" x14ac:dyDescent="0.35">
      <c r="A26" s="8">
        <v>219</v>
      </c>
      <c r="B26" s="13" t="s">
        <v>21</v>
      </c>
      <c r="C26" s="19" t="s">
        <v>112</v>
      </c>
      <c r="D26" s="29">
        <v>3</v>
      </c>
      <c r="E26" s="29">
        <v>1</v>
      </c>
      <c r="F26" s="29">
        <v>5</v>
      </c>
      <c r="G26" s="29">
        <v>3</v>
      </c>
      <c r="H26" s="29">
        <v>4</v>
      </c>
      <c r="I26" s="29">
        <v>1</v>
      </c>
      <c r="J26" s="29">
        <v>5</v>
      </c>
      <c r="K26" s="29">
        <v>2</v>
      </c>
      <c r="L26" s="29">
        <v>3</v>
      </c>
      <c r="M26" s="29">
        <v>5</v>
      </c>
      <c r="N26" s="29">
        <v>1</v>
      </c>
      <c r="O26" s="41">
        <v>80.489999999999995</v>
      </c>
      <c r="S26" s="29">
        <v>3</v>
      </c>
      <c r="T26" s="29">
        <v>2</v>
      </c>
      <c r="U26" s="29">
        <v>5</v>
      </c>
      <c r="V26" s="29">
        <v>4</v>
      </c>
      <c r="W26" s="29">
        <v>4</v>
      </c>
      <c r="X26" s="29">
        <v>4</v>
      </c>
      <c r="Y26" s="29">
        <v>4</v>
      </c>
      <c r="Z26" s="29">
        <v>2</v>
      </c>
      <c r="AA26" s="29">
        <v>3</v>
      </c>
      <c r="AB26" s="29">
        <v>3</v>
      </c>
      <c r="AC26" s="30">
        <v>2</v>
      </c>
      <c r="AD26" s="41">
        <f t="shared" si="0"/>
        <v>81.819999999999993</v>
      </c>
    </row>
    <row r="27" spans="1:30" ht="27" thickBot="1" x14ac:dyDescent="0.35">
      <c r="A27" s="8">
        <v>220</v>
      </c>
      <c r="B27" s="14" t="s">
        <v>22</v>
      </c>
      <c r="C27" s="15" t="s">
        <v>113</v>
      </c>
      <c r="D27" s="30">
        <v>3</v>
      </c>
      <c r="E27" s="30">
        <v>0</v>
      </c>
      <c r="F27" s="30">
        <v>4</v>
      </c>
      <c r="G27" s="30">
        <v>2</v>
      </c>
      <c r="H27" s="30">
        <v>4</v>
      </c>
      <c r="I27" s="30">
        <v>2</v>
      </c>
      <c r="J27" s="30">
        <v>4</v>
      </c>
      <c r="K27" s="30">
        <v>2</v>
      </c>
      <c r="L27" s="30">
        <v>2</v>
      </c>
      <c r="M27" s="30">
        <v>3</v>
      </c>
      <c r="N27" s="30">
        <v>2</v>
      </c>
      <c r="O27" s="43" t="s">
        <v>179</v>
      </c>
      <c r="S27" s="30">
        <v>3</v>
      </c>
      <c r="T27" s="30">
        <v>2</v>
      </c>
      <c r="U27" s="30">
        <v>5</v>
      </c>
      <c r="V27" s="30">
        <v>3</v>
      </c>
      <c r="W27" s="30">
        <v>3</v>
      </c>
      <c r="X27" s="30">
        <v>3</v>
      </c>
      <c r="Y27" s="30">
        <v>4</v>
      </c>
      <c r="Z27" s="30">
        <v>3</v>
      </c>
      <c r="AA27" s="30">
        <v>5</v>
      </c>
      <c r="AB27" s="29">
        <v>3</v>
      </c>
      <c r="AC27" s="30">
        <v>2</v>
      </c>
      <c r="AD27" s="41">
        <f t="shared" si="0"/>
        <v>81.819999999999993</v>
      </c>
    </row>
    <row r="28" spans="1:30" ht="15" thickBot="1" x14ac:dyDescent="0.35">
      <c r="A28" s="8">
        <v>221</v>
      </c>
      <c r="B28" s="14" t="s">
        <v>23</v>
      </c>
      <c r="C28" s="19" t="s">
        <v>114</v>
      </c>
      <c r="D28" s="30">
        <v>1</v>
      </c>
      <c r="E28" s="30">
        <v>1</v>
      </c>
      <c r="F28" s="30">
        <v>2</v>
      </c>
      <c r="G28" s="30">
        <v>3</v>
      </c>
      <c r="H28" s="30">
        <v>3</v>
      </c>
      <c r="I28" s="30">
        <v>1</v>
      </c>
      <c r="J28" s="30">
        <v>4</v>
      </c>
      <c r="K28" s="30">
        <v>2</v>
      </c>
      <c r="L28" s="30">
        <v>1</v>
      </c>
      <c r="M28" s="30">
        <v>4</v>
      </c>
      <c r="N28" s="30">
        <v>1</v>
      </c>
      <c r="O28" s="43">
        <v>51.22</v>
      </c>
      <c r="S28" s="30">
        <v>5</v>
      </c>
      <c r="T28" s="30">
        <v>1</v>
      </c>
      <c r="U28" s="30">
        <v>4</v>
      </c>
      <c r="V28" s="30">
        <v>3</v>
      </c>
      <c r="W28" s="30">
        <v>3</v>
      </c>
      <c r="X28" s="30">
        <v>4</v>
      </c>
      <c r="Y28" s="30">
        <v>4</v>
      </c>
      <c r="Z28" s="30">
        <v>3</v>
      </c>
      <c r="AA28" s="30">
        <v>5</v>
      </c>
      <c r="AB28" s="29">
        <v>3</v>
      </c>
      <c r="AC28" s="30">
        <v>2</v>
      </c>
      <c r="AD28" s="41">
        <f t="shared" si="0"/>
        <v>84.09</v>
      </c>
    </row>
    <row r="29" spans="1:30" ht="15" thickBot="1" x14ac:dyDescent="0.35">
      <c r="A29" s="8">
        <v>222</v>
      </c>
      <c r="B29" s="14" t="s">
        <v>24</v>
      </c>
      <c r="C29" s="15" t="s">
        <v>115</v>
      </c>
      <c r="D29" s="30">
        <v>3</v>
      </c>
      <c r="E29" s="30">
        <v>1</v>
      </c>
      <c r="F29" s="30">
        <v>2</v>
      </c>
      <c r="G29" s="30">
        <v>2</v>
      </c>
      <c r="H29" s="30">
        <v>2</v>
      </c>
      <c r="I29" s="30">
        <v>1</v>
      </c>
      <c r="J29" s="30">
        <v>3</v>
      </c>
      <c r="K29" s="30">
        <v>2</v>
      </c>
      <c r="L29" s="30">
        <v>2</v>
      </c>
      <c r="M29" s="30">
        <v>2</v>
      </c>
      <c r="N29" s="30">
        <v>1</v>
      </c>
      <c r="O29" s="43">
        <v>51.22</v>
      </c>
      <c r="S29" s="30">
        <v>3</v>
      </c>
      <c r="T29" s="30">
        <v>2</v>
      </c>
      <c r="U29" s="30">
        <v>6</v>
      </c>
      <c r="V29" s="30">
        <v>2</v>
      </c>
      <c r="W29" s="30">
        <v>2</v>
      </c>
      <c r="X29" s="30">
        <v>2</v>
      </c>
      <c r="Y29" s="30">
        <v>3</v>
      </c>
      <c r="Z29" s="30">
        <v>3</v>
      </c>
      <c r="AA29" s="30">
        <v>5</v>
      </c>
      <c r="AB29" s="29">
        <v>3</v>
      </c>
      <c r="AC29" s="30">
        <v>2</v>
      </c>
      <c r="AD29" s="41">
        <f t="shared" si="0"/>
        <v>75</v>
      </c>
    </row>
    <row r="30" spans="1:30" ht="15" thickBot="1" x14ac:dyDescent="0.35">
      <c r="A30" s="8">
        <v>223</v>
      </c>
      <c r="B30" s="13" t="s">
        <v>25</v>
      </c>
      <c r="C30" s="19" t="s">
        <v>97</v>
      </c>
      <c r="D30" s="29">
        <v>4</v>
      </c>
      <c r="E30" s="29">
        <v>1</v>
      </c>
      <c r="F30" s="29">
        <v>3</v>
      </c>
      <c r="G30" s="29">
        <v>2</v>
      </c>
      <c r="H30" s="29">
        <v>5</v>
      </c>
      <c r="I30" s="29">
        <v>2</v>
      </c>
      <c r="J30" s="29">
        <v>3</v>
      </c>
      <c r="K30" s="29">
        <v>2</v>
      </c>
      <c r="L30" s="29">
        <v>4</v>
      </c>
      <c r="M30" s="29">
        <v>5</v>
      </c>
      <c r="N30" s="29">
        <v>1</v>
      </c>
      <c r="O30" s="41">
        <v>78.05</v>
      </c>
      <c r="S30" s="29">
        <v>4</v>
      </c>
      <c r="T30" s="29">
        <v>2</v>
      </c>
      <c r="U30" s="29">
        <v>1</v>
      </c>
      <c r="V30" s="29">
        <v>2</v>
      </c>
      <c r="W30" s="29">
        <v>2</v>
      </c>
      <c r="X30" s="29">
        <v>2</v>
      </c>
      <c r="Y30" s="29">
        <v>3</v>
      </c>
      <c r="Z30" s="30">
        <v>3</v>
      </c>
      <c r="AA30" s="30">
        <v>5</v>
      </c>
      <c r="AB30" s="29">
        <v>3</v>
      </c>
      <c r="AC30" s="30">
        <v>2</v>
      </c>
      <c r="AD30" s="41">
        <f t="shared" si="0"/>
        <v>65.91</v>
      </c>
    </row>
    <row r="31" spans="1:30" ht="15" thickBot="1" x14ac:dyDescent="0.35">
      <c r="A31" s="8">
        <v>224</v>
      </c>
      <c r="B31" s="14" t="s">
        <v>26</v>
      </c>
      <c r="C31" s="15" t="s">
        <v>98</v>
      </c>
      <c r="D31" s="30">
        <v>1</v>
      </c>
      <c r="E31" s="30">
        <v>0</v>
      </c>
      <c r="F31" s="30">
        <v>3</v>
      </c>
      <c r="G31" s="30">
        <v>2</v>
      </c>
      <c r="H31" s="30">
        <v>2</v>
      </c>
      <c r="I31" s="30">
        <v>1</v>
      </c>
      <c r="J31" s="30">
        <v>3</v>
      </c>
      <c r="K31" s="30">
        <v>2</v>
      </c>
      <c r="L31" s="30">
        <v>2</v>
      </c>
      <c r="M31" s="30">
        <v>4</v>
      </c>
      <c r="N31" s="30">
        <v>1</v>
      </c>
      <c r="O31" s="43">
        <v>51.22</v>
      </c>
      <c r="S31" s="30">
        <v>3</v>
      </c>
      <c r="T31" s="30">
        <v>1</v>
      </c>
      <c r="U31" s="30">
        <v>3</v>
      </c>
      <c r="V31" s="30">
        <v>2</v>
      </c>
      <c r="W31" s="30">
        <v>2</v>
      </c>
      <c r="X31" s="30">
        <v>1</v>
      </c>
      <c r="Y31" s="30">
        <v>3</v>
      </c>
      <c r="Z31" s="30">
        <v>3</v>
      </c>
      <c r="AA31" s="30">
        <v>2</v>
      </c>
      <c r="AB31" s="30">
        <v>4</v>
      </c>
      <c r="AC31" s="30">
        <v>2</v>
      </c>
      <c r="AD31" s="41">
        <f t="shared" si="0"/>
        <v>59.09</v>
      </c>
    </row>
    <row r="32" spans="1:30" ht="15" thickBot="1" x14ac:dyDescent="0.35">
      <c r="A32" s="8">
        <v>225</v>
      </c>
      <c r="B32" s="14" t="s">
        <v>27</v>
      </c>
      <c r="C32" s="15" t="s">
        <v>99</v>
      </c>
      <c r="D32" s="30">
        <v>3</v>
      </c>
      <c r="E32" s="30">
        <v>0</v>
      </c>
      <c r="F32" s="30">
        <v>2</v>
      </c>
      <c r="G32" s="30">
        <v>3</v>
      </c>
      <c r="H32" s="30">
        <v>4</v>
      </c>
      <c r="I32" s="30">
        <v>2</v>
      </c>
      <c r="J32" s="30">
        <v>3</v>
      </c>
      <c r="K32" s="30">
        <v>2</v>
      </c>
      <c r="L32" s="30">
        <v>3</v>
      </c>
      <c r="M32" s="30">
        <v>3</v>
      </c>
      <c r="N32" s="30">
        <v>1</v>
      </c>
      <c r="O32" s="44">
        <v>63.41</v>
      </c>
      <c r="S32" s="30">
        <v>3</v>
      </c>
      <c r="T32" s="30">
        <v>2</v>
      </c>
      <c r="U32" s="30">
        <v>5</v>
      </c>
      <c r="V32" s="30">
        <v>4</v>
      </c>
      <c r="W32" s="30">
        <v>2</v>
      </c>
      <c r="X32" s="30">
        <v>2</v>
      </c>
      <c r="Y32" s="30">
        <v>4</v>
      </c>
      <c r="Z32" s="30">
        <v>3</v>
      </c>
      <c r="AA32" s="30">
        <v>3</v>
      </c>
      <c r="AB32" s="30">
        <v>3</v>
      </c>
      <c r="AC32" s="30">
        <v>1</v>
      </c>
      <c r="AD32" s="41">
        <f t="shared" si="0"/>
        <v>72.73</v>
      </c>
    </row>
    <row r="33" spans="1:30" ht="15" thickBot="1" x14ac:dyDescent="0.35">
      <c r="A33" s="8"/>
      <c r="B33" s="11"/>
      <c r="C33" s="23" t="s">
        <v>73</v>
      </c>
      <c r="D33" s="28" t="s">
        <v>161</v>
      </c>
      <c r="E33" s="28" t="s">
        <v>161</v>
      </c>
      <c r="F33" s="32" t="s">
        <v>163</v>
      </c>
      <c r="G33" s="18" t="s">
        <v>163</v>
      </c>
      <c r="H33" s="28" t="s">
        <v>167</v>
      </c>
      <c r="I33" s="28" t="s">
        <v>167</v>
      </c>
      <c r="J33" s="28" t="s">
        <v>169</v>
      </c>
      <c r="K33" s="28" t="s">
        <v>169</v>
      </c>
      <c r="L33" s="28" t="s">
        <v>172</v>
      </c>
      <c r="M33" s="28" t="s">
        <v>173</v>
      </c>
      <c r="N33" s="32" t="s">
        <v>176</v>
      </c>
      <c r="O33" s="40"/>
      <c r="S33" s="28" t="s">
        <v>161</v>
      </c>
      <c r="T33" s="28" t="s">
        <v>161</v>
      </c>
      <c r="U33" s="32" t="s">
        <v>163</v>
      </c>
      <c r="V33" s="18" t="s">
        <v>163</v>
      </c>
      <c r="W33" s="28" t="s">
        <v>167</v>
      </c>
      <c r="X33" s="28" t="s">
        <v>167</v>
      </c>
      <c r="Y33" s="28" t="s">
        <v>169</v>
      </c>
      <c r="Z33" s="28" t="s">
        <v>169</v>
      </c>
      <c r="AA33" s="28" t="s">
        <v>172</v>
      </c>
      <c r="AB33" s="28" t="s">
        <v>173</v>
      </c>
      <c r="AC33" s="32" t="s">
        <v>176</v>
      </c>
      <c r="AD33" s="41"/>
    </row>
    <row r="34" spans="1:30" ht="15" thickBot="1" x14ac:dyDescent="0.35">
      <c r="A34" s="8"/>
      <c r="B34" s="20" t="s">
        <v>182</v>
      </c>
      <c r="C34" s="24" t="s">
        <v>74</v>
      </c>
      <c r="D34" s="29">
        <v>6</v>
      </c>
      <c r="E34" s="29">
        <v>1</v>
      </c>
      <c r="F34" s="29">
        <v>5</v>
      </c>
      <c r="G34" s="29">
        <v>0</v>
      </c>
      <c r="H34" s="29">
        <v>5</v>
      </c>
      <c r="I34" s="29">
        <v>3</v>
      </c>
      <c r="J34" s="29">
        <v>5</v>
      </c>
      <c r="K34" s="29">
        <v>2</v>
      </c>
      <c r="L34" s="29">
        <v>4</v>
      </c>
      <c r="M34" s="29">
        <v>5</v>
      </c>
      <c r="N34" s="29">
        <v>3</v>
      </c>
      <c r="O34" s="40">
        <v>39</v>
      </c>
      <c r="S34" s="29">
        <v>4</v>
      </c>
      <c r="T34" s="29">
        <v>1</v>
      </c>
      <c r="U34" s="29">
        <v>5</v>
      </c>
      <c r="V34" s="29">
        <v>4</v>
      </c>
      <c r="W34" s="29">
        <v>3</v>
      </c>
      <c r="X34" s="29">
        <v>3</v>
      </c>
      <c r="Y34" s="29">
        <v>4</v>
      </c>
      <c r="Z34" s="29">
        <v>2</v>
      </c>
      <c r="AA34" s="29">
        <v>4</v>
      </c>
      <c r="AB34" s="29">
        <v>4</v>
      </c>
      <c r="AC34" s="29">
        <v>3</v>
      </c>
      <c r="AD34" s="41">
        <f t="shared" si="0"/>
        <v>84.09</v>
      </c>
    </row>
    <row r="35" spans="1:30" ht="15" thickBot="1" x14ac:dyDescent="0.35">
      <c r="A35" s="8">
        <v>226</v>
      </c>
      <c r="B35" s="13" t="s">
        <v>46</v>
      </c>
      <c r="C35" s="19" t="s">
        <v>117</v>
      </c>
      <c r="D35" s="29">
        <v>2</v>
      </c>
      <c r="E35" s="29">
        <v>1</v>
      </c>
      <c r="F35" s="29">
        <v>3</v>
      </c>
      <c r="G35" s="29">
        <v>0</v>
      </c>
      <c r="H35" s="29">
        <v>3</v>
      </c>
      <c r="I35" s="29">
        <v>1</v>
      </c>
      <c r="J35" s="29">
        <v>3</v>
      </c>
      <c r="K35" s="29">
        <v>2</v>
      </c>
      <c r="L35" s="29">
        <v>2</v>
      </c>
      <c r="M35" s="29">
        <v>3</v>
      </c>
      <c r="N35" s="29">
        <v>2</v>
      </c>
      <c r="O35" s="43">
        <v>56.41</v>
      </c>
      <c r="S35" s="29">
        <v>2</v>
      </c>
      <c r="T35" s="29">
        <v>2</v>
      </c>
      <c r="U35" s="29">
        <v>3</v>
      </c>
      <c r="V35" s="29">
        <v>4</v>
      </c>
      <c r="W35" s="29">
        <v>3</v>
      </c>
      <c r="X35" s="29">
        <v>4</v>
      </c>
      <c r="Y35" s="29">
        <v>3</v>
      </c>
      <c r="Z35" s="29">
        <v>2</v>
      </c>
      <c r="AA35" s="29">
        <v>2</v>
      </c>
      <c r="AB35" s="29">
        <v>3</v>
      </c>
      <c r="AC35" s="29">
        <v>3</v>
      </c>
      <c r="AD35" s="41">
        <f t="shared" si="0"/>
        <v>70.45</v>
      </c>
    </row>
    <row r="36" spans="1:30" ht="15" thickBot="1" x14ac:dyDescent="0.35">
      <c r="A36" s="8">
        <v>227</v>
      </c>
      <c r="B36" s="13" t="s">
        <v>47</v>
      </c>
      <c r="C36" s="19" t="s">
        <v>118</v>
      </c>
      <c r="D36" s="29">
        <v>2</v>
      </c>
      <c r="E36" s="29">
        <v>1</v>
      </c>
      <c r="F36" s="29">
        <v>1</v>
      </c>
      <c r="G36" s="29">
        <v>0</v>
      </c>
      <c r="H36" s="29">
        <v>4</v>
      </c>
      <c r="I36" s="29">
        <v>1</v>
      </c>
      <c r="J36" s="29">
        <v>3</v>
      </c>
      <c r="K36" s="29">
        <v>2</v>
      </c>
      <c r="L36" s="29">
        <v>3</v>
      </c>
      <c r="M36" s="29">
        <v>3</v>
      </c>
      <c r="N36" s="29">
        <v>3</v>
      </c>
      <c r="O36" s="43">
        <v>58.97</v>
      </c>
      <c r="S36" s="29">
        <v>2</v>
      </c>
      <c r="T36" s="29">
        <v>2</v>
      </c>
      <c r="U36" s="29">
        <v>2</v>
      </c>
      <c r="V36" s="29">
        <v>4</v>
      </c>
      <c r="W36" s="29">
        <v>2</v>
      </c>
      <c r="X36" s="29">
        <v>4</v>
      </c>
      <c r="Y36" s="29">
        <v>3</v>
      </c>
      <c r="Z36" s="29">
        <v>2</v>
      </c>
      <c r="AA36" s="29">
        <v>3</v>
      </c>
      <c r="AB36" s="29">
        <v>3</v>
      </c>
      <c r="AC36" s="29">
        <v>3</v>
      </c>
      <c r="AD36" s="41">
        <f t="shared" si="0"/>
        <v>68.180000000000007</v>
      </c>
    </row>
    <row r="37" spans="1:30" ht="15" thickBot="1" x14ac:dyDescent="0.35">
      <c r="A37" s="8">
        <v>228</v>
      </c>
      <c r="B37" s="13" t="s">
        <v>48</v>
      </c>
      <c r="C37" s="19" t="s">
        <v>119</v>
      </c>
      <c r="D37" s="29">
        <v>3</v>
      </c>
      <c r="E37" s="29">
        <v>1</v>
      </c>
      <c r="F37" s="29">
        <v>4</v>
      </c>
      <c r="G37" s="29">
        <v>0</v>
      </c>
      <c r="H37" s="29">
        <v>5</v>
      </c>
      <c r="I37" s="29">
        <v>3</v>
      </c>
      <c r="J37" s="29">
        <v>4</v>
      </c>
      <c r="K37" s="29">
        <v>2</v>
      </c>
      <c r="L37" s="29">
        <v>3</v>
      </c>
      <c r="M37" s="29">
        <v>4</v>
      </c>
      <c r="N37" s="29">
        <v>3</v>
      </c>
      <c r="O37" s="41">
        <v>82.05</v>
      </c>
      <c r="S37" s="29">
        <v>3</v>
      </c>
      <c r="T37" s="29">
        <v>2</v>
      </c>
      <c r="U37" s="29">
        <v>5</v>
      </c>
      <c r="V37" s="29">
        <v>4</v>
      </c>
      <c r="W37" s="29">
        <v>3</v>
      </c>
      <c r="X37" s="29">
        <v>3</v>
      </c>
      <c r="Y37" s="29">
        <v>4</v>
      </c>
      <c r="Z37" s="29">
        <v>2</v>
      </c>
      <c r="AA37" s="29">
        <v>4</v>
      </c>
      <c r="AB37" s="29">
        <v>4</v>
      </c>
      <c r="AC37" s="29">
        <v>3</v>
      </c>
      <c r="AD37" s="41">
        <f t="shared" si="0"/>
        <v>84.09</v>
      </c>
    </row>
    <row r="38" spans="1:30" ht="18.600000000000001" customHeight="1" thickBot="1" x14ac:dyDescent="0.35">
      <c r="A38" s="8">
        <v>229</v>
      </c>
      <c r="B38" s="14" t="s">
        <v>49</v>
      </c>
      <c r="C38" s="15" t="s">
        <v>120</v>
      </c>
      <c r="D38" s="30">
        <v>1</v>
      </c>
      <c r="E38" s="30">
        <v>1</v>
      </c>
      <c r="F38" s="30">
        <v>2</v>
      </c>
      <c r="G38" s="30">
        <v>0</v>
      </c>
      <c r="H38" s="30">
        <v>5</v>
      </c>
      <c r="I38" s="30">
        <v>2</v>
      </c>
      <c r="J38" s="30">
        <v>3</v>
      </c>
      <c r="K38" s="30">
        <v>2</v>
      </c>
      <c r="L38" s="30">
        <v>1</v>
      </c>
      <c r="M38" s="30">
        <v>3</v>
      </c>
      <c r="N38" s="30">
        <v>2</v>
      </c>
      <c r="O38" s="43">
        <v>56.41</v>
      </c>
      <c r="S38" s="30">
        <v>2</v>
      </c>
      <c r="T38" s="30">
        <v>2</v>
      </c>
      <c r="U38" s="30">
        <v>2</v>
      </c>
      <c r="V38" s="29">
        <v>4</v>
      </c>
      <c r="W38" s="30">
        <v>2</v>
      </c>
      <c r="X38" s="30">
        <v>2</v>
      </c>
      <c r="Y38" s="30">
        <v>3</v>
      </c>
      <c r="Z38" s="30">
        <v>3</v>
      </c>
      <c r="AA38" s="29">
        <v>4</v>
      </c>
      <c r="AB38" s="30">
        <v>3</v>
      </c>
      <c r="AC38" s="29">
        <v>3</v>
      </c>
      <c r="AD38" s="41">
        <f t="shared" si="0"/>
        <v>68.180000000000007</v>
      </c>
    </row>
    <row r="39" spans="1:30" ht="15" thickBot="1" x14ac:dyDescent="0.35">
      <c r="A39" s="8">
        <v>230</v>
      </c>
      <c r="B39" s="14" t="s">
        <v>50</v>
      </c>
      <c r="C39" s="15" t="s">
        <v>121</v>
      </c>
      <c r="D39" s="30">
        <v>3</v>
      </c>
      <c r="E39" s="30">
        <v>1</v>
      </c>
      <c r="F39" s="30">
        <v>1</v>
      </c>
      <c r="G39" s="30">
        <v>0</v>
      </c>
      <c r="H39" s="30">
        <v>4</v>
      </c>
      <c r="I39" s="30">
        <v>2</v>
      </c>
      <c r="J39" s="30">
        <v>4</v>
      </c>
      <c r="K39" s="30">
        <v>2</v>
      </c>
      <c r="L39" s="30">
        <v>3</v>
      </c>
      <c r="M39" s="30">
        <v>2</v>
      </c>
      <c r="N39" s="30">
        <v>1</v>
      </c>
      <c r="O39" s="43">
        <v>58.97</v>
      </c>
      <c r="S39" s="30">
        <v>3</v>
      </c>
      <c r="T39" s="30">
        <v>1</v>
      </c>
      <c r="U39" s="30">
        <v>6</v>
      </c>
      <c r="V39" s="29">
        <v>4</v>
      </c>
      <c r="W39" s="30">
        <v>4</v>
      </c>
      <c r="X39" s="30">
        <v>1</v>
      </c>
      <c r="Y39" s="30">
        <v>4</v>
      </c>
      <c r="Z39" s="30">
        <v>3</v>
      </c>
      <c r="AA39" s="29">
        <v>4</v>
      </c>
      <c r="AB39" s="30">
        <v>2</v>
      </c>
      <c r="AC39" s="29">
        <v>3</v>
      </c>
      <c r="AD39" s="41">
        <f t="shared" si="0"/>
        <v>79.55</v>
      </c>
    </row>
    <row r="40" spans="1:30" ht="15" thickBot="1" x14ac:dyDescent="0.35">
      <c r="A40" s="8">
        <v>231</v>
      </c>
      <c r="B40" s="14" t="s">
        <v>51</v>
      </c>
      <c r="C40" s="15" t="s">
        <v>122</v>
      </c>
      <c r="D40" s="30">
        <v>1</v>
      </c>
      <c r="E40" s="30">
        <v>1</v>
      </c>
      <c r="F40" s="30">
        <v>3</v>
      </c>
      <c r="G40" s="30">
        <v>0</v>
      </c>
      <c r="H40" s="30">
        <v>0</v>
      </c>
      <c r="I40" s="30">
        <v>1</v>
      </c>
      <c r="J40" s="30">
        <v>2</v>
      </c>
      <c r="K40" s="30">
        <v>2</v>
      </c>
      <c r="L40" s="30">
        <v>2</v>
      </c>
      <c r="M40" s="30">
        <v>3</v>
      </c>
      <c r="N40" s="30">
        <v>2</v>
      </c>
      <c r="O40" s="77">
        <v>43.59</v>
      </c>
      <c r="S40" s="30">
        <v>3</v>
      </c>
      <c r="T40" s="30">
        <v>2</v>
      </c>
      <c r="U40" s="30">
        <v>4</v>
      </c>
      <c r="V40" s="29">
        <v>4</v>
      </c>
      <c r="W40" s="30">
        <v>1</v>
      </c>
      <c r="X40" s="30">
        <v>0</v>
      </c>
      <c r="Y40" s="30">
        <v>2</v>
      </c>
      <c r="Z40" s="30">
        <v>3</v>
      </c>
      <c r="AA40" s="29">
        <v>4</v>
      </c>
      <c r="AB40" s="30">
        <v>3</v>
      </c>
      <c r="AC40" s="29">
        <v>3</v>
      </c>
      <c r="AD40" s="41">
        <f t="shared" si="0"/>
        <v>65.91</v>
      </c>
    </row>
    <row r="41" spans="1:30" ht="15" thickBot="1" x14ac:dyDescent="0.35">
      <c r="A41" s="8">
        <v>232</v>
      </c>
      <c r="B41" s="14" t="s">
        <v>52</v>
      </c>
      <c r="C41" s="15" t="s">
        <v>123</v>
      </c>
      <c r="D41" s="30">
        <v>3</v>
      </c>
      <c r="E41" s="30">
        <v>1</v>
      </c>
      <c r="F41" s="30">
        <v>3</v>
      </c>
      <c r="G41" s="30">
        <v>0</v>
      </c>
      <c r="H41" s="30">
        <v>4</v>
      </c>
      <c r="I41" s="30">
        <v>2</v>
      </c>
      <c r="J41" s="30">
        <v>3</v>
      </c>
      <c r="K41" s="30">
        <v>2</v>
      </c>
      <c r="L41" s="30">
        <v>3</v>
      </c>
      <c r="M41" s="30">
        <v>3</v>
      </c>
      <c r="N41" s="30">
        <v>2</v>
      </c>
      <c r="O41" s="77">
        <v>66.67</v>
      </c>
      <c r="S41" s="30">
        <v>3</v>
      </c>
      <c r="T41" s="30">
        <v>1</v>
      </c>
      <c r="U41" s="30">
        <v>3</v>
      </c>
      <c r="V41" s="29">
        <v>4</v>
      </c>
      <c r="W41" s="30">
        <v>2</v>
      </c>
      <c r="X41" s="30">
        <v>4</v>
      </c>
      <c r="Y41" s="30">
        <v>3</v>
      </c>
      <c r="Z41" s="30">
        <v>3</v>
      </c>
      <c r="AA41" s="29">
        <v>4</v>
      </c>
      <c r="AB41" s="30">
        <v>3</v>
      </c>
      <c r="AC41" s="29">
        <v>3</v>
      </c>
      <c r="AD41" s="41">
        <f t="shared" si="0"/>
        <v>75</v>
      </c>
    </row>
    <row r="42" spans="1:30" ht="15" thickBot="1" x14ac:dyDescent="0.35">
      <c r="A42" s="8"/>
    </row>
    <row r="43" spans="1:30" ht="15" thickBot="1" x14ac:dyDescent="0.35">
      <c r="A43" s="8"/>
      <c r="B43" s="9"/>
      <c r="C43" s="16" t="s">
        <v>70</v>
      </c>
    </row>
    <row r="44" spans="1:30" ht="15" thickBot="1" x14ac:dyDescent="0.35">
      <c r="A44" s="8"/>
      <c r="B44" s="66" t="s">
        <v>2</v>
      </c>
      <c r="C44" s="67" t="s">
        <v>71</v>
      </c>
      <c r="D44" s="63" t="s">
        <v>164</v>
      </c>
      <c r="E44" s="52"/>
      <c r="F44" s="52" t="s">
        <v>165</v>
      </c>
      <c r="G44" s="52"/>
      <c r="H44" s="52" t="s">
        <v>180</v>
      </c>
      <c r="I44" s="52"/>
      <c r="J44" s="52" t="s">
        <v>183</v>
      </c>
      <c r="K44" s="54"/>
      <c r="L44" s="55" t="s">
        <v>171</v>
      </c>
      <c r="M44" s="57" t="s">
        <v>184</v>
      </c>
      <c r="N44" s="64" t="s">
        <v>174</v>
      </c>
      <c r="O44" s="73" t="s">
        <v>178</v>
      </c>
      <c r="S44" s="63" t="s">
        <v>164</v>
      </c>
      <c r="T44" s="52"/>
      <c r="U44" s="52" t="s">
        <v>165</v>
      </c>
      <c r="V44" s="52"/>
      <c r="W44" s="52" t="s">
        <v>180</v>
      </c>
      <c r="X44" s="52"/>
      <c r="Y44" s="52" t="s">
        <v>183</v>
      </c>
      <c r="Z44" s="54"/>
      <c r="AA44" s="55" t="s">
        <v>171</v>
      </c>
      <c r="AB44" s="57" t="s">
        <v>184</v>
      </c>
      <c r="AC44" s="64" t="s">
        <v>174</v>
      </c>
      <c r="AD44" s="49" t="s">
        <v>178</v>
      </c>
    </row>
    <row r="45" spans="1:30" ht="15" thickBot="1" x14ac:dyDescent="0.35">
      <c r="A45" s="8"/>
      <c r="B45" s="66"/>
      <c r="C45" s="68"/>
      <c r="D45" s="63"/>
      <c r="E45" s="52"/>
      <c r="F45" s="52"/>
      <c r="G45" s="52"/>
      <c r="H45" s="52"/>
      <c r="I45" s="52"/>
      <c r="J45" s="52"/>
      <c r="K45" s="54"/>
      <c r="L45" s="56"/>
      <c r="M45" s="58"/>
      <c r="N45" s="65"/>
      <c r="O45" s="74"/>
      <c r="S45" s="63"/>
      <c r="T45" s="52"/>
      <c r="U45" s="52"/>
      <c r="V45" s="52"/>
      <c r="W45" s="52"/>
      <c r="X45" s="52"/>
      <c r="Y45" s="52"/>
      <c r="Z45" s="54"/>
      <c r="AA45" s="56"/>
      <c r="AB45" s="58"/>
      <c r="AC45" s="65"/>
      <c r="AD45" s="50"/>
    </row>
    <row r="46" spans="1:30" ht="15" thickBot="1" x14ac:dyDescent="0.35">
      <c r="A46" s="8"/>
      <c r="B46" s="10"/>
      <c r="C46" s="17" t="s">
        <v>72</v>
      </c>
      <c r="D46" s="27" t="s">
        <v>160</v>
      </c>
      <c r="E46" s="27" t="s">
        <v>162</v>
      </c>
      <c r="F46" s="27" t="s">
        <v>160</v>
      </c>
      <c r="G46" s="17" t="s">
        <v>162</v>
      </c>
      <c r="H46" s="27" t="s">
        <v>160</v>
      </c>
      <c r="I46" s="31" t="s">
        <v>162</v>
      </c>
      <c r="J46" s="27" t="s">
        <v>160</v>
      </c>
      <c r="K46" s="31" t="s">
        <v>170</v>
      </c>
      <c r="L46" s="31" t="s">
        <v>160</v>
      </c>
      <c r="M46" s="31" t="s">
        <v>160</v>
      </c>
      <c r="N46" s="17" t="s">
        <v>162</v>
      </c>
      <c r="O46" s="75"/>
      <c r="S46" s="27" t="s">
        <v>160</v>
      </c>
      <c r="T46" s="27" t="s">
        <v>162</v>
      </c>
      <c r="U46" s="27" t="s">
        <v>160</v>
      </c>
      <c r="V46" s="17" t="s">
        <v>162</v>
      </c>
      <c r="W46" s="27" t="s">
        <v>160</v>
      </c>
      <c r="X46" s="31" t="s">
        <v>162</v>
      </c>
      <c r="Y46" s="27" t="s">
        <v>160</v>
      </c>
      <c r="Z46" s="31" t="s">
        <v>170</v>
      </c>
      <c r="AA46" s="31" t="s">
        <v>160</v>
      </c>
      <c r="AB46" s="31" t="s">
        <v>160</v>
      </c>
      <c r="AC46" s="17" t="s">
        <v>162</v>
      </c>
      <c r="AD46" s="38"/>
    </row>
    <row r="47" spans="1:30" ht="15" thickBot="1" x14ac:dyDescent="0.35">
      <c r="A47" s="8">
        <v>233</v>
      </c>
      <c r="B47" s="13" t="s">
        <v>53</v>
      </c>
      <c r="C47" s="19" t="s">
        <v>124</v>
      </c>
      <c r="D47" s="29">
        <v>1</v>
      </c>
      <c r="E47" s="29">
        <v>0</v>
      </c>
      <c r="F47" s="29">
        <v>2</v>
      </c>
      <c r="G47" s="29">
        <v>0</v>
      </c>
      <c r="H47" s="29">
        <v>1</v>
      </c>
      <c r="I47" s="29">
        <v>1</v>
      </c>
      <c r="J47" s="29">
        <v>4</v>
      </c>
      <c r="K47" s="29">
        <v>2</v>
      </c>
      <c r="L47" s="29">
        <v>0</v>
      </c>
      <c r="M47" s="29">
        <v>4</v>
      </c>
      <c r="N47" s="29">
        <v>0</v>
      </c>
      <c r="O47" s="69">
        <v>38.46</v>
      </c>
      <c r="S47" s="29">
        <v>4</v>
      </c>
      <c r="T47" s="29">
        <v>2</v>
      </c>
      <c r="U47" s="29">
        <v>6</v>
      </c>
      <c r="V47" s="29">
        <v>4</v>
      </c>
      <c r="W47" s="29">
        <v>2</v>
      </c>
      <c r="X47" s="29">
        <v>4</v>
      </c>
      <c r="Y47" s="29">
        <v>4</v>
      </c>
      <c r="Z47" s="29">
        <v>2</v>
      </c>
      <c r="AA47" s="29">
        <v>4</v>
      </c>
      <c r="AB47" s="29">
        <v>4</v>
      </c>
      <c r="AC47" s="29">
        <v>2</v>
      </c>
      <c r="AD47" s="42">
        <f>ROUND((SUM(S47:AC47)/$AD$7)*100,2)</f>
        <v>86.36</v>
      </c>
    </row>
    <row r="48" spans="1:30" ht="15" thickBot="1" x14ac:dyDescent="0.35">
      <c r="A48" s="8">
        <v>234</v>
      </c>
      <c r="B48" s="13" t="s">
        <v>54</v>
      </c>
      <c r="C48" s="19" t="s">
        <v>125</v>
      </c>
      <c r="D48" s="29">
        <v>3</v>
      </c>
      <c r="E48" s="29">
        <v>0</v>
      </c>
      <c r="F48" s="29">
        <v>4</v>
      </c>
      <c r="G48" s="29">
        <v>0</v>
      </c>
      <c r="H48" s="29">
        <v>3</v>
      </c>
      <c r="I48" s="29">
        <v>3</v>
      </c>
      <c r="J48" s="29">
        <v>3</v>
      </c>
      <c r="K48" s="29">
        <v>2</v>
      </c>
      <c r="L48" s="29">
        <v>2</v>
      </c>
      <c r="M48" s="29">
        <v>4</v>
      </c>
      <c r="N48" s="80">
        <v>1</v>
      </c>
      <c r="O48" s="81">
        <v>64.099999999999994</v>
      </c>
      <c r="S48" s="29">
        <v>3</v>
      </c>
      <c r="T48" s="29">
        <v>2</v>
      </c>
      <c r="U48" s="29">
        <v>5</v>
      </c>
      <c r="V48" s="29">
        <v>4</v>
      </c>
      <c r="W48" s="29">
        <v>4</v>
      </c>
      <c r="X48" s="29">
        <v>3</v>
      </c>
      <c r="Y48" s="29">
        <v>3</v>
      </c>
      <c r="Z48" s="29">
        <v>2</v>
      </c>
      <c r="AA48" s="29">
        <v>4</v>
      </c>
      <c r="AB48" s="29">
        <v>4</v>
      </c>
      <c r="AC48" s="29">
        <v>2</v>
      </c>
      <c r="AD48" s="42">
        <f t="shared" ref="AD48:AD64" si="1">ROUND((SUM(S48:AC48)/$AD$7)*100,2)</f>
        <v>81.819999999999993</v>
      </c>
    </row>
    <row r="49" spans="1:30" ht="15" thickBot="1" x14ac:dyDescent="0.35">
      <c r="A49" s="8">
        <v>235</v>
      </c>
      <c r="B49" s="13" t="s">
        <v>141</v>
      </c>
      <c r="C49" s="19" t="s">
        <v>152</v>
      </c>
      <c r="D49" s="29">
        <v>2</v>
      </c>
      <c r="E49" s="29">
        <v>1</v>
      </c>
      <c r="F49" s="29">
        <v>3</v>
      </c>
      <c r="G49" s="29">
        <v>0</v>
      </c>
      <c r="H49" s="29">
        <v>3</v>
      </c>
      <c r="I49" s="29">
        <v>1</v>
      </c>
      <c r="J49" s="29">
        <v>3</v>
      </c>
      <c r="K49" s="29">
        <v>2</v>
      </c>
      <c r="L49" s="29">
        <v>3</v>
      </c>
      <c r="M49" s="29">
        <v>3</v>
      </c>
      <c r="N49" s="80">
        <v>2</v>
      </c>
      <c r="O49" s="82">
        <v>58.97</v>
      </c>
      <c r="S49" s="29">
        <v>2</v>
      </c>
      <c r="T49" s="29">
        <v>1</v>
      </c>
      <c r="U49" s="29">
        <v>4</v>
      </c>
      <c r="V49" s="29">
        <v>4</v>
      </c>
      <c r="W49" s="29">
        <v>4</v>
      </c>
      <c r="X49" s="29">
        <v>2</v>
      </c>
      <c r="Y49" s="29">
        <v>3</v>
      </c>
      <c r="Z49" s="29">
        <v>2</v>
      </c>
      <c r="AA49" s="29">
        <v>4</v>
      </c>
      <c r="AB49" s="29">
        <v>3</v>
      </c>
      <c r="AC49" s="29">
        <v>2</v>
      </c>
      <c r="AD49" s="42">
        <f t="shared" si="1"/>
        <v>70.45</v>
      </c>
    </row>
    <row r="50" spans="1:30" ht="15" thickBot="1" x14ac:dyDescent="0.35">
      <c r="A50" s="8">
        <v>236</v>
      </c>
      <c r="B50" s="13" t="s">
        <v>55</v>
      </c>
      <c r="C50" s="19" t="s">
        <v>126</v>
      </c>
      <c r="D50" s="29">
        <v>1</v>
      </c>
      <c r="E50" s="29">
        <v>0</v>
      </c>
      <c r="F50" s="29">
        <v>1</v>
      </c>
      <c r="G50" s="29">
        <v>0</v>
      </c>
      <c r="H50" s="29">
        <v>3</v>
      </c>
      <c r="I50" s="29">
        <v>2</v>
      </c>
      <c r="J50" s="29">
        <v>1</v>
      </c>
      <c r="K50" s="29">
        <v>2</v>
      </c>
      <c r="L50" s="29">
        <v>3</v>
      </c>
      <c r="M50" s="29">
        <v>3</v>
      </c>
      <c r="N50" s="80">
        <v>0</v>
      </c>
      <c r="O50" s="82">
        <v>41.03</v>
      </c>
      <c r="S50" s="29">
        <v>2</v>
      </c>
      <c r="T50" s="29">
        <v>2</v>
      </c>
      <c r="U50" s="29">
        <v>2</v>
      </c>
      <c r="V50" s="29">
        <v>4</v>
      </c>
      <c r="W50" s="29">
        <v>4</v>
      </c>
      <c r="X50" s="29">
        <v>4</v>
      </c>
      <c r="Y50" s="29">
        <v>1</v>
      </c>
      <c r="Z50" s="29">
        <v>2</v>
      </c>
      <c r="AA50" s="29">
        <v>4</v>
      </c>
      <c r="AB50" s="29">
        <v>3</v>
      </c>
      <c r="AC50" s="29">
        <v>2</v>
      </c>
      <c r="AD50" s="42">
        <f t="shared" si="1"/>
        <v>68.180000000000007</v>
      </c>
    </row>
    <row r="51" spans="1:30" ht="15" thickBot="1" x14ac:dyDescent="0.35">
      <c r="A51" s="8">
        <v>237</v>
      </c>
      <c r="B51" s="13" t="s">
        <v>56</v>
      </c>
      <c r="C51" s="19" t="s">
        <v>127</v>
      </c>
      <c r="D51" s="29">
        <v>1</v>
      </c>
      <c r="E51" s="29">
        <v>1</v>
      </c>
      <c r="F51" s="29">
        <v>0</v>
      </c>
      <c r="G51" s="29">
        <v>0</v>
      </c>
      <c r="H51" s="29">
        <v>3</v>
      </c>
      <c r="I51" s="29">
        <v>1</v>
      </c>
      <c r="J51" s="29">
        <v>2</v>
      </c>
      <c r="K51" s="29">
        <v>2</v>
      </c>
      <c r="L51" s="29">
        <v>1</v>
      </c>
      <c r="M51" s="29">
        <v>2</v>
      </c>
      <c r="N51" s="29">
        <v>3</v>
      </c>
      <c r="O51" s="79">
        <v>41.03</v>
      </c>
      <c r="S51" s="29">
        <v>5</v>
      </c>
      <c r="T51" s="29">
        <v>1</v>
      </c>
      <c r="U51" s="29">
        <v>5</v>
      </c>
      <c r="V51" s="29">
        <v>4</v>
      </c>
      <c r="W51" s="29">
        <v>4</v>
      </c>
      <c r="X51" s="29">
        <v>4</v>
      </c>
      <c r="Y51" s="29">
        <v>2</v>
      </c>
      <c r="Z51" s="29">
        <v>3</v>
      </c>
      <c r="AA51" s="29">
        <v>4</v>
      </c>
      <c r="AB51" s="29">
        <v>2</v>
      </c>
      <c r="AC51" s="29">
        <v>2</v>
      </c>
      <c r="AD51" s="42">
        <f t="shared" si="1"/>
        <v>81.819999999999993</v>
      </c>
    </row>
    <row r="52" spans="1:30" ht="15" thickBot="1" x14ac:dyDescent="0.35">
      <c r="A52" s="8">
        <v>238</v>
      </c>
      <c r="B52" s="13" t="s">
        <v>57</v>
      </c>
      <c r="C52" s="19" t="s">
        <v>128</v>
      </c>
      <c r="D52" s="29">
        <v>3</v>
      </c>
      <c r="E52" s="29">
        <v>1</v>
      </c>
      <c r="F52" s="29">
        <v>3</v>
      </c>
      <c r="G52" s="29">
        <v>0</v>
      </c>
      <c r="H52" s="29">
        <v>5</v>
      </c>
      <c r="I52" s="29">
        <v>3</v>
      </c>
      <c r="J52" s="29">
        <v>5</v>
      </c>
      <c r="K52" s="29">
        <v>2</v>
      </c>
      <c r="L52" s="29">
        <v>3</v>
      </c>
      <c r="M52" s="29">
        <v>4</v>
      </c>
      <c r="N52" s="29">
        <v>3</v>
      </c>
      <c r="O52" s="41">
        <v>82.05</v>
      </c>
      <c r="S52" s="29">
        <v>3</v>
      </c>
      <c r="T52" s="29">
        <v>2</v>
      </c>
      <c r="U52" s="29">
        <v>3</v>
      </c>
      <c r="V52" s="29">
        <v>4</v>
      </c>
      <c r="W52" s="29">
        <v>4</v>
      </c>
      <c r="X52" s="29">
        <v>3</v>
      </c>
      <c r="Y52" s="29">
        <v>5</v>
      </c>
      <c r="Z52" s="29">
        <v>3</v>
      </c>
      <c r="AA52" s="29">
        <v>4</v>
      </c>
      <c r="AB52" s="29">
        <v>4</v>
      </c>
      <c r="AC52" s="29">
        <v>2</v>
      </c>
      <c r="AD52" s="42">
        <f t="shared" si="1"/>
        <v>84.09</v>
      </c>
    </row>
    <row r="53" spans="1:30" ht="15" thickBot="1" x14ac:dyDescent="0.35">
      <c r="A53" s="8">
        <v>239</v>
      </c>
      <c r="B53" s="13" t="s">
        <v>58</v>
      </c>
      <c r="C53" s="19" t="s">
        <v>129</v>
      </c>
      <c r="D53" s="29">
        <v>3</v>
      </c>
      <c r="E53" s="29">
        <v>1</v>
      </c>
      <c r="F53" s="29">
        <v>2</v>
      </c>
      <c r="G53" s="29">
        <v>0</v>
      </c>
      <c r="H53" s="29">
        <v>5</v>
      </c>
      <c r="I53" s="29">
        <v>3</v>
      </c>
      <c r="J53" s="29">
        <v>4</v>
      </c>
      <c r="K53" s="29">
        <v>2</v>
      </c>
      <c r="L53" s="29">
        <v>3</v>
      </c>
      <c r="M53" s="29">
        <v>4</v>
      </c>
      <c r="N53" s="29">
        <v>3</v>
      </c>
      <c r="O53" s="41">
        <v>76.92</v>
      </c>
      <c r="S53" s="29">
        <v>3</v>
      </c>
      <c r="T53" s="29">
        <v>2</v>
      </c>
      <c r="U53" s="29">
        <v>2</v>
      </c>
      <c r="V53" s="29">
        <v>4</v>
      </c>
      <c r="W53" s="29">
        <v>4</v>
      </c>
      <c r="X53" s="29">
        <v>3</v>
      </c>
      <c r="Y53" s="29">
        <v>4</v>
      </c>
      <c r="Z53" s="29">
        <v>3</v>
      </c>
      <c r="AA53" s="29">
        <v>4</v>
      </c>
      <c r="AB53" s="29">
        <v>4</v>
      </c>
      <c r="AC53" s="29">
        <v>2</v>
      </c>
      <c r="AD53" s="42">
        <f t="shared" si="1"/>
        <v>79.55</v>
      </c>
    </row>
    <row r="54" spans="1:30" ht="15" thickBot="1" x14ac:dyDescent="0.35">
      <c r="A54" s="8">
        <v>240</v>
      </c>
      <c r="B54" s="14" t="s">
        <v>59</v>
      </c>
      <c r="C54" s="15" t="s">
        <v>130</v>
      </c>
      <c r="D54" s="30">
        <v>1</v>
      </c>
      <c r="E54" s="30">
        <v>1</v>
      </c>
      <c r="F54" s="30">
        <v>2</v>
      </c>
      <c r="G54" s="30">
        <v>0</v>
      </c>
      <c r="H54" s="30">
        <v>1</v>
      </c>
      <c r="I54" s="30">
        <v>2</v>
      </c>
      <c r="J54" s="30">
        <v>2</v>
      </c>
      <c r="K54" s="30">
        <v>2</v>
      </c>
      <c r="L54" s="30">
        <v>1</v>
      </c>
      <c r="M54" s="30">
        <v>3</v>
      </c>
      <c r="N54" s="30">
        <v>3</v>
      </c>
      <c r="O54" s="43">
        <v>46.15</v>
      </c>
      <c r="S54" s="30">
        <v>2</v>
      </c>
      <c r="T54" s="30">
        <v>2</v>
      </c>
      <c r="U54" s="30">
        <v>2</v>
      </c>
      <c r="V54" s="29">
        <v>4</v>
      </c>
      <c r="W54" s="29">
        <v>4</v>
      </c>
      <c r="X54" s="30">
        <v>2</v>
      </c>
      <c r="Y54" s="30">
        <v>2</v>
      </c>
      <c r="Z54" s="29">
        <v>3</v>
      </c>
      <c r="AA54" s="29">
        <v>4</v>
      </c>
      <c r="AB54" s="30">
        <v>3</v>
      </c>
      <c r="AC54" s="29">
        <v>2</v>
      </c>
      <c r="AD54" s="42">
        <f t="shared" si="1"/>
        <v>68.180000000000007</v>
      </c>
    </row>
    <row r="55" spans="1:30" ht="15" thickBot="1" x14ac:dyDescent="0.35">
      <c r="A55" s="8">
        <v>241</v>
      </c>
      <c r="B55" s="13" t="s">
        <v>60</v>
      </c>
      <c r="C55" s="19" t="s">
        <v>131</v>
      </c>
      <c r="D55" s="29">
        <v>4</v>
      </c>
      <c r="E55" s="29">
        <v>1</v>
      </c>
      <c r="F55" s="29">
        <v>4</v>
      </c>
      <c r="G55" s="29">
        <v>0</v>
      </c>
      <c r="H55" s="29">
        <v>5</v>
      </c>
      <c r="I55" s="29">
        <v>3</v>
      </c>
      <c r="J55" s="29">
        <v>4</v>
      </c>
      <c r="K55" s="29">
        <v>2</v>
      </c>
      <c r="L55" s="29">
        <v>3</v>
      </c>
      <c r="M55" s="29">
        <v>4</v>
      </c>
      <c r="N55" s="29">
        <v>3</v>
      </c>
      <c r="O55" s="41">
        <v>84.62</v>
      </c>
      <c r="S55" s="29">
        <v>4</v>
      </c>
      <c r="T55" s="29">
        <v>2</v>
      </c>
      <c r="U55" s="29">
        <v>4</v>
      </c>
      <c r="V55" s="29">
        <v>4</v>
      </c>
      <c r="W55" s="29">
        <v>3</v>
      </c>
      <c r="X55" s="29">
        <v>3</v>
      </c>
      <c r="Y55" s="29">
        <v>4</v>
      </c>
      <c r="Z55" s="29">
        <v>2</v>
      </c>
      <c r="AA55" s="29">
        <v>3</v>
      </c>
      <c r="AB55" s="29">
        <v>4</v>
      </c>
      <c r="AC55" s="29">
        <v>2</v>
      </c>
      <c r="AD55" s="42">
        <f t="shared" si="1"/>
        <v>79.55</v>
      </c>
    </row>
    <row r="56" spans="1:30" ht="15" thickBot="1" x14ac:dyDescent="0.35">
      <c r="A56" s="8">
        <v>242</v>
      </c>
      <c r="B56" s="14" t="s">
        <v>61</v>
      </c>
      <c r="C56" s="15" t="s">
        <v>132</v>
      </c>
      <c r="D56" s="30">
        <v>1</v>
      </c>
      <c r="E56" s="30">
        <v>0</v>
      </c>
      <c r="F56" s="30">
        <v>2</v>
      </c>
      <c r="G56" s="30">
        <v>0</v>
      </c>
      <c r="H56" s="30">
        <v>3</v>
      </c>
      <c r="I56" s="30">
        <v>1</v>
      </c>
      <c r="J56" s="30">
        <v>0</v>
      </c>
      <c r="K56" s="30">
        <v>0</v>
      </c>
      <c r="L56" s="30">
        <v>2</v>
      </c>
      <c r="M56" s="30">
        <v>2</v>
      </c>
      <c r="N56" s="30">
        <v>1</v>
      </c>
      <c r="O56" s="43">
        <v>30.77</v>
      </c>
      <c r="S56" s="30">
        <v>1</v>
      </c>
      <c r="T56" s="30">
        <v>0</v>
      </c>
      <c r="U56" s="30">
        <v>3</v>
      </c>
      <c r="V56" s="29">
        <v>4</v>
      </c>
      <c r="W56" s="30">
        <v>4</v>
      </c>
      <c r="X56" s="30">
        <v>4</v>
      </c>
      <c r="Y56" s="30">
        <v>2</v>
      </c>
      <c r="Z56" s="30">
        <v>0</v>
      </c>
      <c r="AA56" s="30">
        <v>3</v>
      </c>
      <c r="AB56" s="30">
        <v>2</v>
      </c>
      <c r="AC56" s="30">
        <v>3</v>
      </c>
      <c r="AD56" s="42">
        <f t="shared" si="1"/>
        <v>59.09</v>
      </c>
    </row>
    <row r="57" spans="1:30" ht="15" thickBot="1" x14ac:dyDescent="0.35">
      <c r="A57" s="8">
        <v>243</v>
      </c>
      <c r="B57" s="13" t="s">
        <v>62</v>
      </c>
      <c r="C57" s="19" t="s">
        <v>133</v>
      </c>
      <c r="D57" s="29">
        <v>3</v>
      </c>
      <c r="E57" s="29">
        <v>1</v>
      </c>
      <c r="F57" s="29">
        <v>5</v>
      </c>
      <c r="G57" s="29">
        <v>0</v>
      </c>
      <c r="H57" s="29">
        <v>5</v>
      </c>
      <c r="I57" s="29">
        <v>3</v>
      </c>
      <c r="J57" s="29">
        <v>5</v>
      </c>
      <c r="K57" s="29">
        <v>2</v>
      </c>
      <c r="L57" s="29">
        <v>2</v>
      </c>
      <c r="M57" s="29">
        <v>5</v>
      </c>
      <c r="N57" s="29">
        <v>1</v>
      </c>
      <c r="O57" s="41">
        <v>82.05</v>
      </c>
      <c r="S57" s="29">
        <v>3</v>
      </c>
      <c r="T57" s="29">
        <v>2</v>
      </c>
      <c r="U57" s="29">
        <v>5</v>
      </c>
      <c r="V57" s="29">
        <v>4</v>
      </c>
      <c r="W57" s="29">
        <v>2</v>
      </c>
      <c r="X57" s="29">
        <v>3</v>
      </c>
      <c r="Y57" s="29">
        <v>3</v>
      </c>
      <c r="Z57" s="29">
        <v>2</v>
      </c>
      <c r="AA57" s="30">
        <v>3</v>
      </c>
      <c r="AB57" s="29">
        <v>3</v>
      </c>
      <c r="AC57" s="30">
        <v>3</v>
      </c>
      <c r="AD57" s="42">
        <f t="shared" si="1"/>
        <v>75</v>
      </c>
    </row>
    <row r="58" spans="1:30" ht="44.4" customHeight="1" thickBot="1" x14ac:dyDescent="0.35">
      <c r="A58" s="8">
        <v>244</v>
      </c>
      <c r="B58" s="14" t="s">
        <v>63</v>
      </c>
      <c r="C58" s="15" t="s">
        <v>134</v>
      </c>
      <c r="D58" s="30">
        <v>2</v>
      </c>
      <c r="E58" s="30">
        <v>1</v>
      </c>
      <c r="F58" s="30">
        <v>2</v>
      </c>
      <c r="G58" s="30">
        <v>0</v>
      </c>
      <c r="H58" s="30">
        <v>5</v>
      </c>
      <c r="I58" s="30">
        <v>3</v>
      </c>
      <c r="J58" s="30">
        <v>3</v>
      </c>
      <c r="K58" s="30">
        <v>2</v>
      </c>
      <c r="L58" s="30">
        <v>2</v>
      </c>
      <c r="M58" s="30">
        <v>4</v>
      </c>
      <c r="N58" s="30">
        <v>0</v>
      </c>
      <c r="O58" s="43">
        <v>61.54</v>
      </c>
      <c r="S58" s="30">
        <v>2</v>
      </c>
      <c r="T58" s="30">
        <v>2</v>
      </c>
      <c r="U58" s="30">
        <v>4</v>
      </c>
      <c r="V58" s="29">
        <v>4</v>
      </c>
      <c r="W58" s="30">
        <v>3</v>
      </c>
      <c r="X58" s="30">
        <v>3</v>
      </c>
      <c r="Y58" s="30">
        <v>3</v>
      </c>
      <c r="Z58" s="30">
        <v>2</v>
      </c>
      <c r="AA58" s="30">
        <v>3</v>
      </c>
      <c r="AB58" s="30">
        <v>4</v>
      </c>
      <c r="AC58" s="30">
        <v>3</v>
      </c>
      <c r="AD58" s="42">
        <f t="shared" si="1"/>
        <v>75</v>
      </c>
    </row>
    <row r="59" spans="1:30" ht="15" thickBot="1" x14ac:dyDescent="0.35">
      <c r="A59" s="8">
        <v>245</v>
      </c>
      <c r="B59" s="14" t="s">
        <v>64</v>
      </c>
      <c r="C59" s="15" t="s">
        <v>135</v>
      </c>
      <c r="D59" s="30">
        <v>0</v>
      </c>
      <c r="E59" s="30">
        <v>0</v>
      </c>
      <c r="F59" s="30">
        <v>3</v>
      </c>
      <c r="G59" s="30">
        <v>0</v>
      </c>
      <c r="H59" s="30">
        <v>3</v>
      </c>
      <c r="I59" s="30">
        <v>2</v>
      </c>
      <c r="J59" s="30">
        <v>2</v>
      </c>
      <c r="K59" s="30">
        <v>2</v>
      </c>
      <c r="L59" s="30">
        <v>0</v>
      </c>
      <c r="M59" s="30">
        <v>2</v>
      </c>
      <c r="N59" s="30">
        <v>2</v>
      </c>
      <c r="O59" s="43">
        <v>48.72</v>
      </c>
      <c r="S59" s="30">
        <v>5</v>
      </c>
      <c r="T59" s="30">
        <v>0</v>
      </c>
      <c r="U59" s="30">
        <v>3</v>
      </c>
      <c r="V59" s="29">
        <v>4</v>
      </c>
      <c r="W59" s="30">
        <v>3</v>
      </c>
      <c r="X59" s="30">
        <v>4</v>
      </c>
      <c r="Y59" s="30">
        <v>3</v>
      </c>
      <c r="Z59" s="30">
        <v>2</v>
      </c>
      <c r="AA59" s="30">
        <v>3</v>
      </c>
      <c r="AB59" s="30">
        <v>2</v>
      </c>
      <c r="AC59" s="30">
        <v>3</v>
      </c>
      <c r="AD59" s="42">
        <f t="shared" si="1"/>
        <v>72.73</v>
      </c>
    </row>
    <row r="60" spans="1:30" ht="15" thickBot="1" x14ac:dyDescent="0.35">
      <c r="A60" s="8">
        <v>246</v>
      </c>
      <c r="B60" s="14" t="s">
        <v>65</v>
      </c>
      <c r="C60" s="15" t="s">
        <v>136</v>
      </c>
      <c r="D60" s="30">
        <v>2</v>
      </c>
      <c r="E60" s="30">
        <v>1</v>
      </c>
      <c r="F60" s="30">
        <v>3</v>
      </c>
      <c r="G60" s="30">
        <v>0</v>
      </c>
      <c r="H60" s="30">
        <v>3</v>
      </c>
      <c r="I60" s="30">
        <v>2</v>
      </c>
      <c r="J60" s="30">
        <v>5</v>
      </c>
      <c r="K60" s="30">
        <v>2</v>
      </c>
      <c r="L60" s="30">
        <v>3</v>
      </c>
      <c r="M60" s="30">
        <v>4</v>
      </c>
      <c r="N60" s="30">
        <v>1</v>
      </c>
      <c r="O60" s="77">
        <v>41.03</v>
      </c>
      <c r="S60" s="30">
        <v>2</v>
      </c>
      <c r="T60" s="30">
        <v>2</v>
      </c>
      <c r="U60" s="30">
        <v>3</v>
      </c>
      <c r="V60" s="29">
        <v>4</v>
      </c>
      <c r="W60" s="30">
        <v>3</v>
      </c>
      <c r="X60" s="30">
        <v>2</v>
      </c>
      <c r="Y60" s="30">
        <v>2</v>
      </c>
      <c r="Z60" s="30">
        <v>3</v>
      </c>
      <c r="AA60" s="30">
        <v>3</v>
      </c>
      <c r="AB60" s="30">
        <v>4</v>
      </c>
      <c r="AC60" s="30">
        <v>3</v>
      </c>
      <c r="AD60" s="42">
        <f t="shared" si="1"/>
        <v>70.45</v>
      </c>
    </row>
    <row r="61" spans="1:30" ht="15" thickBot="1" x14ac:dyDescent="0.35">
      <c r="A61" s="8">
        <v>247</v>
      </c>
      <c r="B61" s="14" t="s">
        <v>66</v>
      </c>
      <c r="C61" s="15" t="s">
        <v>137</v>
      </c>
      <c r="D61" s="30">
        <v>0</v>
      </c>
      <c r="E61" s="30">
        <v>0</v>
      </c>
      <c r="F61" s="30">
        <v>3</v>
      </c>
      <c r="G61" s="30">
        <v>0</v>
      </c>
      <c r="H61" s="30">
        <v>2</v>
      </c>
      <c r="I61" s="30">
        <v>2</v>
      </c>
      <c r="J61" s="30">
        <v>2</v>
      </c>
      <c r="K61" s="30">
        <v>2</v>
      </c>
      <c r="L61" s="30">
        <v>0</v>
      </c>
      <c r="M61" s="30">
        <v>0</v>
      </c>
      <c r="N61" s="30">
        <v>0</v>
      </c>
      <c r="O61" s="77">
        <v>66.67</v>
      </c>
      <c r="S61" s="30">
        <v>0</v>
      </c>
      <c r="T61" s="30">
        <v>2</v>
      </c>
      <c r="U61" s="30">
        <v>5</v>
      </c>
      <c r="V61" s="29">
        <v>4</v>
      </c>
      <c r="W61" s="30">
        <v>2</v>
      </c>
      <c r="X61" s="30">
        <v>2</v>
      </c>
      <c r="Y61" s="30">
        <v>4</v>
      </c>
      <c r="Z61" s="30">
        <v>3</v>
      </c>
      <c r="AA61" s="30">
        <v>0</v>
      </c>
      <c r="AB61" s="30">
        <v>2</v>
      </c>
      <c r="AC61" s="30">
        <v>3</v>
      </c>
      <c r="AD61" s="42">
        <f t="shared" si="1"/>
        <v>61.36</v>
      </c>
    </row>
    <row r="62" spans="1:30" ht="15" thickBot="1" x14ac:dyDescent="0.35">
      <c r="A62" s="8">
        <v>248</v>
      </c>
      <c r="B62" s="14" t="s">
        <v>67</v>
      </c>
      <c r="C62" s="15" t="s">
        <v>138</v>
      </c>
      <c r="D62" s="30">
        <v>1</v>
      </c>
      <c r="E62" s="30">
        <v>0</v>
      </c>
      <c r="F62" s="30">
        <v>1</v>
      </c>
      <c r="G62" s="30">
        <v>0</v>
      </c>
      <c r="H62" s="30">
        <v>2</v>
      </c>
      <c r="I62" s="30">
        <v>1</v>
      </c>
      <c r="J62" s="30">
        <v>3</v>
      </c>
      <c r="K62" s="30">
        <v>2</v>
      </c>
      <c r="L62" s="30">
        <v>1</v>
      </c>
      <c r="M62" s="30">
        <v>0</v>
      </c>
      <c r="N62" s="30">
        <v>0</v>
      </c>
      <c r="O62" s="77">
        <v>28.21</v>
      </c>
      <c r="S62" s="30">
        <v>2</v>
      </c>
      <c r="T62" s="30">
        <v>2</v>
      </c>
      <c r="U62" s="30">
        <v>4</v>
      </c>
      <c r="V62" s="29">
        <v>4</v>
      </c>
      <c r="W62" s="30">
        <v>2</v>
      </c>
      <c r="X62" s="30">
        <v>4</v>
      </c>
      <c r="Y62" s="30">
        <v>4</v>
      </c>
      <c r="Z62" s="30">
        <v>3</v>
      </c>
      <c r="AA62" s="30">
        <v>1</v>
      </c>
      <c r="AB62" s="30">
        <v>1</v>
      </c>
      <c r="AC62" s="30">
        <v>3</v>
      </c>
      <c r="AD62" s="42">
        <f t="shared" si="1"/>
        <v>68.180000000000007</v>
      </c>
    </row>
    <row r="63" spans="1:30" ht="15" thickBot="1" x14ac:dyDescent="0.35">
      <c r="A63" s="8">
        <v>249</v>
      </c>
      <c r="B63" s="14" t="s">
        <v>68</v>
      </c>
      <c r="C63" s="15" t="s">
        <v>139</v>
      </c>
      <c r="D63" s="30">
        <v>0</v>
      </c>
      <c r="E63" s="30">
        <v>0</v>
      </c>
      <c r="F63" s="30">
        <v>1</v>
      </c>
      <c r="G63" s="30">
        <v>0</v>
      </c>
      <c r="H63" s="30">
        <v>3</v>
      </c>
      <c r="I63" s="30">
        <v>2</v>
      </c>
      <c r="J63" s="30">
        <v>2</v>
      </c>
      <c r="K63" s="30">
        <v>2</v>
      </c>
      <c r="L63" s="30">
        <v>0</v>
      </c>
      <c r="M63" s="30">
        <v>3</v>
      </c>
      <c r="N63" s="30">
        <v>1</v>
      </c>
      <c r="O63" s="77">
        <v>35.9</v>
      </c>
      <c r="S63" s="30">
        <v>4</v>
      </c>
      <c r="T63" s="30">
        <v>2</v>
      </c>
      <c r="U63" s="30">
        <v>2</v>
      </c>
      <c r="V63" s="29">
        <v>4</v>
      </c>
      <c r="W63" s="30">
        <v>3</v>
      </c>
      <c r="X63" s="30">
        <v>2</v>
      </c>
      <c r="Y63" s="30">
        <v>2</v>
      </c>
      <c r="Z63" s="30">
        <v>2</v>
      </c>
      <c r="AA63" s="30">
        <v>0</v>
      </c>
      <c r="AB63" s="30">
        <v>3</v>
      </c>
      <c r="AC63" s="30">
        <v>3</v>
      </c>
      <c r="AD63" s="42">
        <f t="shared" si="1"/>
        <v>61.36</v>
      </c>
    </row>
    <row r="64" spans="1:30" ht="15" thickBot="1" x14ac:dyDescent="0.35">
      <c r="A64" s="8">
        <v>250</v>
      </c>
      <c r="B64" s="14" t="s">
        <v>69</v>
      </c>
      <c r="C64" s="15" t="s">
        <v>140</v>
      </c>
      <c r="D64" s="30">
        <v>2</v>
      </c>
      <c r="E64" s="30">
        <v>1</v>
      </c>
      <c r="F64" s="30">
        <v>1</v>
      </c>
      <c r="G64" s="30">
        <v>0</v>
      </c>
      <c r="H64" s="30">
        <v>4</v>
      </c>
      <c r="I64" s="30">
        <v>2</v>
      </c>
      <c r="J64" s="30">
        <v>3</v>
      </c>
      <c r="K64" s="30">
        <v>2</v>
      </c>
      <c r="L64" s="30">
        <v>1</v>
      </c>
      <c r="M64" s="30">
        <v>2</v>
      </c>
      <c r="N64" s="30">
        <v>1</v>
      </c>
      <c r="O64" s="78">
        <v>48.72</v>
      </c>
      <c r="S64" s="30">
        <v>2</v>
      </c>
      <c r="T64" s="30">
        <v>1</v>
      </c>
      <c r="U64" s="30">
        <v>6</v>
      </c>
      <c r="V64" s="29">
        <v>4</v>
      </c>
      <c r="W64" s="30">
        <v>4</v>
      </c>
      <c r="X64" s="30">
        <v>3</v>
      </c>
      <c r="Y64" s="30">
        <v>3</v>
      </c>
      <c r="Z64" s="30">
        <v>2</v>
      </c>
      <c r="AA64" s="30">
        <v>1</v>
      </c>
      <c r="AB64" s="30">
        <v>2</v>
      </c>
      <c r="AC64" s="30">
        <v>1</v>
      </c>
      <c r="AD64" s="42">
        <f t="shared" si="1"/>
        <v>65.91</v>
      </c>
    </row>
    <row r="65" spans="1:30" ht="15" thickBot="1" x14ac:dyDescent="0.35">
      <c r="A65" s="8"/>
      <c r="B65" s="13"/>
      <c r="C65" s="25" t="s">
        <v>73</v>
      </c>
      <c r="D65" s="28" t="s">
        <v>161</v>
      </c>
      <c r="E65" s="28" t="s">
        <v>161</v>
      </c>
      <c r="F65" s="32" t="s">
        <v>163</v>
      </c>
      <c r="G65" s="18" t="s">
        <v>163</v>
      </c>
      <c r="H65" s="28" t="s">
        <v>167</v>
      </c>
      <c r="I65" s="28" t="s">
        <v>168</v>
      </c>
      <c r="J65" s="28" t="s">
        <v>169</v>
      </c>
      <c r="K65" s="28" t="s">
        <v>169</v>
      </c>
      <c r="L65" s="28" t="s">
        <v>172</v>
      </c>
      <c r="M65" s="34" t="s">
        <v>173</v>
      </c>
      <c r="N65" s="34" t="s">
        <v>177</v>
      </c>
      <c r="O65" s="40"/>
      <c r="S65" s="28" t="s">
        <v>161</v>
      </c>
      <c r="T65" s="28" t="s">
        <v>161</v>
      </c>
      <c r="U65" s="32" t="s">
        <v>163</v>
      </c>
      <c r="V65" s="29" t="s">
        <v>163</v>
      </c>
      <c r="W65" s="28" t="s">
        <v>167</v>
      </c>
      <c r="X65" s="28" t="s">
        <v>168</v>
      </c>
      <c r="Y65" s="28" t="s">
        <v>169</v>
      </c>
      <c r="Z65" s="28" t="s">
        <v>169</v>
      </c>
      <c r="AA65" s="28" t="s">
        <v>172</v>
      </c>
      <c r="AB65" s="34" t="s">
        <v>173</v>
      </c>
      <c r="AC65" s="34" t="s">
        <v>177</v>
      </c>
      <c r="AD65" s="42"/>
    </row>
    <row r="66" spans="1:30" ht="15" thickBot="1" x14ac:dyDescent="0.35">
      <c r="A66" s="8"/>
      <c r="B66" s="14"/>
      <c r="C66" s="24" t="s">
        <v>74</v>
      </c>
      <c r="D66" s="17">
        <v>6</v>
      </c>
      <c r="E66" s="17">
        <v>2</v>
      </c>
      <c r="F66" s="17">
        <v>5</v>
      </c>
      <c r="G66" s="17">
        <v>1</v>
      </c>
      <c r="H66" s="17">
        <v>5</v>
      </c>
      <c r="I66" s="17">
        <v>3</v>
      </c>
      <c r="J66" s="17">
        <v>5</v>
      </c>
      <c r="K66" s="17">
        <v>2</v>
      </c>
      <c r="L66" s="17">
        <v>4</v>
      </c>
      <c r="M66" s="17">
        <v>5</v>
      </c>
      <c r="N66" s="17">
        <v>3</v>
      </c>
      <c r="O66" s="40">
        <v>41</v>
      </c>
      <c r="S66" s="29">
        <v>5</v>
      </c>
      <c r="T66" s="29">
        <v>2</v>
      </c>
      <c r="U66" s="29">
        <v>6</v>
      </c>
      <c r="V66" s="29">
        <v>4</v>
      </c>
      <c r="W66" s="29">
        <v>4</v>
      </c>
      <c r="X66" s="29">
        <v>4</v>
      </c>
      <c r="Y66" s="29">
        <v>4</v>
      </c>
      <c r="Z66" s="29">
        <v>3</v>
      </c>
      <c r="AA66" s="29">
        <v>5</v>
      </c>
      <c r="AB66" s="29">
        <v>4</v>
      </c>
      <c r="AC66" s="29">
        <v>3</v>
      </c>
      <c r="AD66" s="42">
        <v>44</v>
      </c>
    </row>
    <row r="67" spans="1:30" ht="15" thickBot="1" x14ac:dyDescent="0.35">
      <c r="A67" s="8">
        <v>251</v>
      </c>
      <c r="B67" s="13" t="s">
        <v>28</v>
      </c>
      <c r="C67" s="19" t="s">
        <v>75</v>
      </c>
      <c r="D67" s="29">
        <v>4</v>
      </c>
      <c r="E67" s="29">
        <v>2</v>
      </c>
      <c r="F67" s="29">
        <v>4</v>
      </c>
      <c r="G67" s="29">
        <v>1</v>
      </c>
      <c r="H67" s="29">
        <v>4</v>
      </c>
      <c r="I67" s="29">
        <v>3</v>
      </c>
      <c r="J67" s="29">
        <v>4</v>
      </c>
      <c r="K67" s="29">
        <v>2</v>
      </c>
      <c r="L67" s="29">
        <v>4</v>
      </c>
      <c r="M67" s="29">
        <v>4</v>
      </c>
      <c r="N67" s="36">
        <v>1</v>
      </c>
      <c r="O67" s="41">
        <v>80.489999999999995</v>
      </c>
      <c r="S67" s="29">
        <v>4</v>
      </c>
      <c r="T67" s="29">
        <v>2</v>
      </c>
      <c r="U67" s="29">
        <v>4</v>
      </c>
      <c r="V67" s="29">
        <v>3</v>
      </c>
      <c r="W67" s="29">
        <v>4</v>
      </c>
      <c r="X67" s="29">
        <v>3</v>
      </c>
      <c r="Y67" s="29">
        <v>4</v>
      </c>
      <c r="Z67" s="29">
        <v>3</v>
      </c>
      <c r="AA67" s="29">
        <v>5</v>
      </c>
      <c r="AB67" s="29">
        <v>4</v>
      </c>
      <c r="AC67" s="36">
        <v>1</v>
      </c>
      <c r="AD67" s="42">
        <f t="shared" ref="AD67:AD82" si="2">ROUND((SUM(S67:AC67)/$AD$7)*100,2)</f>
        <v>84.09</v>
      </c>
    </row>
    <row r="68" spans="1:30" ht="15" thickBot="1" x14ac:dyDescent="0.35">
      <c r="A68" s="8">
        <v>252</v>
      </c>
      <c r="B68" s="14" t="s">
        <v>142</v>
      </c>
      <c r="C68" s="15" t="s">
        <v>76</v>
      </c>
      <c r="D68" s="30">
        <v>2</v>
      </c>
      <c r="E68" s="30">
        <v>1</v>
      </c>
      <c r="F68" s="30">
        <v>2</v>
      </c>
      <c r="G68" s="30">
        <v>1</v>
      </c>
      <c r="H68" s="30">
        <v>3</v>
      </c>
      <c r="I68" s="30">
        <v>3</v>
      </c>
      <c r="J68" s="30">
        <v>5</v>
      </c>
      <c r="K68" s="30">
        <v>2</v>
      </c>
      <c r="L68" s="30">
        <v>3</v>
      </c>
      <c r="M68" s="30">
        <v>3</v>
      </c>
      <c r="N68" s="37">
        <v>1</v>
      </c>
      <c r="O68" s="43">
        <v>63.41</v>
      </c>
      <c r="S68" s="30">
        <v>2</v>
      </c>
      <c r="T68" s="30">
        <v>2</v>
      </c>
      <c r="U68" s="30">
        <v>3</v>
      </c>
      <c r="V68" s="30">
        <v>3</v>
      </c>
      <c r="W68" s="30">
        <v>3</v>
      </c>
      <c r="X68" s="30">
        <v>3</v>
      </c>
      <c r="Y68" s="30">
        <v>3</v>
      </c>
      <c r="Z68" s="29">
        <v>3</v>
      </c>
      <c r="AA68" s="29">
        <v>5</v>
      </c>
      <c r="AB68" s="30">
        <v>3</v>
      </c>
      <c r="AC68" s="37">
        <v>3</v>
      </c>
      <c r="AD68" s="42">
        <f t="shared" si="2"/>
        <v>75</v>
      </c>
    </row>
    <row r="69" spans="1:30" ht="15" thickBot="1" x14ac:dyDescent="0.35">
      <c r="A69" s="8">
        <v>253</v>
      </c>
      <c r="B69" s="13" t="s">
        <v>143</v>
      </c>
      <c r="C69" s="15" t="s">
        <v>77</v>
      </c>
      <c r="D69" s="29">
        <v>2</v>
      </c>
      <c r="E69" s="29">
        <v>2</v>
      </c>
      <c r="F69" s="29">
        <v>3</v>
      </c>
      <c r="G69" s="29">
        <v>0</v>
      </c>
      <c r="H69" s="29">
        <v>3</v>
      </c>
      <c r="I69" s="29">
        <v>2</v>
      </c>
      <c r="J69" s="29">
        <v>4</v>
      </c>
      <c r="K69" s="29">
        <v>2</v>
      </c>
      <c r="L69" s="29">
        <v>3</v>
      </c>
      <c r="M69" s="29">
        <v>3</v>
      </c>
      <c r="N69" s="36">
        <v>1</v>
      </c>
      <c r="O69" s="43">
        <v>60.98</v>
      </c>
      <c r="S69" s="29">
        <v>2</v>
      </c>
      <c r="T69" s="29">
        <v>2</v>
      </c>
      <c r="U69" s="29">
        <v>3</v>
      </c>
      <c r="V69" s="29">
        <v>4</v>
      </c>
      <c r="W69" s="29">
        <v>3</v>
      </c>
      <c r="X69" s="29">
        <v>4</v>
      </c>
      <c r="Y69" s="29">
        <v>4</v>
      </c>
      <c r="Z69" s="29">
        <v>3</v>
      </c>
      <c r="AA69" s="29">
        <v>5</v>
      </c>
      <c r="AB69" s="29">
        <v>3</v>
      </c>
      <c r="AC69" s="37">
        <v>3</v>
      </c>
      <c r="AD69" s="42">
        <f t="shared" si="2"/>
        <v>81.819999999999993</v>
      </c>
    </row>
    <row r="70" spans="1:30" ht="15" thickBot="1" x14ac:dyDescent="0.35">
      <c r="A70" s="8">
        <v>254</v>
      </c>
      <c r="B70" s="14" t="s">
        <v>144</v>
      </c>
      <c r="C70" s="15" t="s">
        <v>78</v>
      </c>
      <c r="D70" s="30">
        <v>2</v>
      </c>
      <c r="E70" s="30">
        <v>1</v>
      </c>
      <c r="F70" s="30">
        <v>0</v>
      </c>
      <c r="G70" s="30">
        <v>0</v>
      </c>
      <c r="H70" s="30">
        <v>2</v>
      </c>
      <c r="I70" s="30">
        <v>2</v>
      </c>
      <c r="J70" s="30">
        <v>3</v>
      </c>
      <c r="K70" s="30">
        <v>2</v>
      </c>
      <c r="L70" s="30">
        <v>3</v>
      </c>
      <c r="M70" s="30">
        <v>1</v>
      </c>
      <c r="N70" s="37">
        <v>2</v>
      </c>
      <c r="O70" s="43">
        <v>43.9</v>
      </c>
      <c r="S70" s="30">
        <v>2</v>
      </c>
      <c r="T70" s="30">
        <v>2</v>
      </c>
      <c r="U70" s="30">
        <v>4</v>
      </c>
      <c r="V70" s="30">
        <v>1</v>
      </c>
      <c r="W70" s="30">
        <v>2</v>
      </c>
      <c r="X70" s="30">
        <v>4</v>
      </c>
      <c r="Y70" s="30">
        <v>3</v>
      </c>
      <c r="Z70" s="29">
        <v>3</v>
      </c>
      <c r="AA70" s="29">
        <v>5</v>
      </c>
      <c r="AB70" s="30">
        <v>4</v>
      </c>
      <c r="AC70" s="37">
        <v>3</v>
      </c>
      <c r="AD70" s="42">
        <f t="shared" si="2"/>
        <v>75</v>
      </c>
    </row>
    <row r="71" spans="1:30" ht="15" thickBot="1" x14ac:dyDescent="0.35">
      <c r="A71" s="8">
        <v>255</v>
      </c>
      <c r="B71" s="13" t="s">
        <v>145</v>
      </c>
      <c r="C71" s="15" t="s">
        <v>79</v>
      </c>
      <c r="D71" s="29">
        <v>1</v>
      </c>
      <c r="E71" s="29">
        <v>2</v>
      </c>
      <c r="F71" s="29">
        <v>2</v>
      </c>
      <c r="G71" s="29">
        <v>0</v>
      </c>
      <c r="H71" s="29">
        <v>4</v>
      </c>
      <c r="I71" s="29">
        <v>0</v>
      </c>
      <c r="J71" s="29">
        <v>5</v>
      </c>
      <c r="K71" s="29">
        <v>2</v>
      </c>
      <c r="L71" s="29">
        <v>2</v>
      </c>
      <c r="M71" s="29">
        <v>4</v>
      </c>
      <c r="N71" s="36">
        <v>1</v>
      </c>
      <c r="O71" s="43">
        <v>56.1</v>
      </c>
      <c r="S71" s="29">
        <v>1</v>
      </c>
      <c r="T71" s="29">
        <v>2</v>
      </c>
      <c r="U71" s="29">
        <v>4</v>
      </c>
      <c r="V71" s="29">
        <v>2</v>
      </c>
      <c r="W71" s="29">
        <v>4</v>
      </c>
      <c r="X71" s="29">
        <v>3</v>
      </c>
      <c r="Y71" s="29">
        <v>2</v>
      </c>
      <c r="Z71" s="29">
        <v>3</v>
      </c>
      <c r="AA71" s="29">
        <v>5</v>
      </c>
      <c r="AB71" s="30">
        <v>4</v>
      </c>
      <c r="AC71" s="37">
        <v>3</v>
      </c>
      <c r="AD71" s="42">
        <f t="shared" si="2"/>
        <v>75</v>
      </c>
    </row>
    <row r="72" spans="1:30" ht="15" thickBot="1" x14ac:dyDescent="0.35">
      <c r="A72" s="8">
        <v>256</v>
      </c>
      <c r="B72" s="14" t="s">
        <v>146</v>
      </c>
      <c r="C72" s="19" t="s">
        <v>80</v>
      </c>
      <c r="D72" s="30">
        <v>3</v>
      </c>
      <c r="E72" s="30">
        <v>1</v>
      </c>
      <c r="F72" s="30">
        <v>0</v>
      </c>
      <c r="G72" s="30">
        <v>0</v>
      </c>
      <c r="H72" s="30">
        <v>2</v>
      </c>
      <c r="I72" s="30">
        <v>2</v>
      </c>
      <c r="J72" s="30">
        <v>3</v>
      </c>
      <c r="K72" s="30">
        <v>2</v>
      </c>
      <c r="L72" s="30">
        <v>4</v>
      </c>
      <c r="M72" s="30">
        <v>2</v>
      </c>
      <c r="N72" s="37">
        <v>1</v>
      </c>
      <c r="O72" s="43">
        <v>48.78</v>
      </c>
      <c r="S72" s="30">
        <v>3</v>
      </c>
      <c r="T72" s="30">
        <v>2</v>
      </c>
      <c r="U72" s="30">
        <v>3</v>
      </c>
      <c r="V72" s="30">
        <v>3</v>
      </c>
      <c r="W72" s="30">
        <v>2</v>
      </c>
      <c r="X72" s="30">
        <v>4</v>
      </c>
      <c r="Y72" s="30">
        <v>3</v>
      </c>
      <c r="Z72" s="29">
        <v>3</v>
      </c>
      <c r="AA72" s="29">
        <v>5</v>
      </c>
      <c r="AB72" s="30">
        <v>4</v>
      </c>
      <c r="AC72" s="37">
        <v>3</v>
      </c>
      <c r="AD72" s="42">
        <f t="shared" si="2"/>
        <v>79.55</v>
      </c>
    </row>
    <row r="73" spans="1:30" ht="15" thickBot="1" x14ac:dyDescent="0.35">
      <c r="A73" s="8">
        <v>257</v>
      </c>
      <c r="B73" s="13" t="s">
        <v>29</v>
      </c>
      <c r="C73" s="15" t="s">
        <v>81</v>
      </c>
      <c r="D73" s="29">
        <v>0</v>
      </c>
      <c r="E73" s="29">
        <v>2</v>
      </c>
      <c r="F73" s="29">
        <v>2</v>
      </c>
      <c r="G73" s="29">
        <v>0</v>
      </c>
      <c r="H73" s="29">
        <v>4</v>
      </c>
      <c r="I73" s="29">
        <v>2</v>
      </c>
      <c r="J73" s="29">
        <v>3</v>
      </c>
      <c r="K73" s="29">
        <v>2</v>
      </c>
      <c r="L73" s="29">
        <v>1</v>
      </c>
      <c r="M73" s="29">
        <v>0</v>
      </c>
      <c r="N73" s="36">
        <v>1</v>
      </c>
      <c r="O73" s="43">
        <v>41.46</v>
      </c>
      <c r="S73" s="29">
        <v>3</v>
      </c>
      <c r="T73" s="29">
        <v>2</v>
      </c>
      <c r="U73" s="29">
        <v>0</v>
      </c>
      <c r="V73" s="29">
        <v>3</v>
      </c>
      <c r="W73" s="29">
        <v>4</v>
      </c>
      <c r="X73" s="29">
        <v>1</v>
      </c>
      <c r="Y73" s="29">
        <v>3</v>
      </c>
      <c r="Z73" s="29">
        <v>2</v>
      </c>
      <c r="AA73" s="29">
        <v>5</v>
      </c>
      <c r="AB73" s="30">
        <v>4</v>
      </c>
      <c r="AC73" s="37">
        <v>3</v>
      </c>
      <c r="AD73" s="42">
        <f t="shared" si="2"/>
        <v>68.180000000000007</v>
      </c>
    </row>
    <row r="74" spans="1:30" ht="15" thickBot="1" x14ac:dyDescent="0.35">
      <c r="A74" s="8">
        <v>258</v>
      </c>
      <c r="B74" s="14" t="s">
        <v>30</v>
      </c>
      <c r="C74" s="19" t="s">
        <v>82</v>
      </c>
      <c r="D74" s="30">
        <v>2</v>
      </c>
      <c r="E74" s="30">
        <v>1</v>
      </c>
      <c r="F74" s="30">
        <v>0</v>
      </c>
      <c r="G74" s="30">
        <v>1</v>
      </c>
      <c r="H74" s="30">
        <v>4</v>
      </c>
      <c r="I74" s="30">
        <v>2</v>
      </c>
      <c r="J74" s="30">
        <v>1</v>
      </c>
      <c r="K74" s="30">
        <v>0</v>
      </c>
      <c r="L74" s="30">
        <v>3</v>
      </c>
      <c r="M74" s="30">
        <v>0</v>
      </c>
      <c r="N74" s="37">
        <v>1</v>
      </c>
      <c r="O74" s="43">
        <v>36.590000000000003</v>
      </c>
      <c r="S74" s="30">
        <v>2</v>
      </c>
      <c r="T74" s="30">
        <v>2</v>
      </c>
      <c r="U74" s="30">
        <v>5</v>
      </c>
      <c r="V74" s="30">
        <v>1</v>
      </c>
      <c r="W74" s="30">
        <v>4</v>
      </c>
      <c r="X74" s="30">
        <v>2</v>
      </c>
      <c r="Y74" s="30">
        <v>1</v>
      </c>
      <c r="Z74" s="30">
        <v>0</v>
      </c>
      <c r="AA74" s="29">
        <v>5</v>
      </c>
      <c r="AB74" s="30">
        <v>4</v>
      </c>
      <c r="AC74" s="37">
        <v>3</v>
      </c>
      <c r="AD74" s="42">
        <f t="shared" si="2"/>
        <v>65.91</v>
      </c>
    </row>
    <row r="75" spans="1:30" ht="15" thickBot="1" x14ac:dyDescent="0.35">
      <c r="A75" s="8">
        <v>259</v>
      </c>
      <c r="B75" s="13" t="s">
        <v>31</v>
      </c>
      <c r="C75" s="15" t="s">
        <v>83</v>
      </c>
      <c r="D75" s="29">
        <v>3</v>
      </c>
      <c r="E75" s="29">
        <v>2</v>
      </c>
      <c r="F75" s="29">
        <v>2</v>
      </c>
      <c r="G75" s="29">
        <v>0</v>
      </c>
      <c r="H75" s="29">
        <v>5</v>
      </c>
      <c r="I75" s="29">
        <v>2</v>
      </c>
      <c r="J75" s="29">
        <v>4</v>
      </c>
      <c r="K75" s="29">
        <v>2</v>
      </c>
      <c r="L75" s="29">
        <v>3</v>
      </c>
      <c r="M75" s="29">
        <v>3</v>
      </c>
      <c r="N75" s="36">
        <v>1</v>
      </c>
      <c r="O75" s="43">
        <v>65.849999999999994</v>
      </c>
      <c r="S75" s="29">
        <v>3</v>
      </c>
      <c r="T75" s="29">
        <v>2</v>
      </c>
      <c r="U75" s="29">
        <v>2</v>
      </c>
      <c r="V75" s="29">
        <v>3</v>
      </c>
      <c r="W75" s="29">
        <v>2</v>
      </c>
      <c r="X75" s="29">
        <v>2</v>
      </c>
      <c r="Y75" s="29">
        <v>4</v>
      </c>
      <c r="Z75" s="29">
        <v>2</v>
      </c>
      <c r="AA75" s="29">
        <v>3</v>
      </c>
      <c r="AB75" s="30">
        <v>4</v>
      </c>
      <c r="AC75" s="36">
        <v>1</v>
      </c>
      <c r="AD75" s="42">
        <f t="shared" si="2"/>
        <v>63.64</v>
      </c>
    </row>
    <row r="76" spans="1:30" ht="15" thickBot="1" x14ac:dyDescent="0.35">
      <c r="A76" s="8">
        <v>260</v>
      </c>
      <c r="B76" s="14" t="s">
        <v>32</v>
      </c>
      <c r="C76" s="19" t="s">
        <v>84</v>
      </c>
      <c r="D76" s="30">
        <v>3</v>
      </c>
      <c r="E76" s="30">
        <v>1</v>
      </c>
      <c r="F76" s="30">
        <v>2</v>
      </c>
      <c r="G76" s="30">
        <v>1</v>
      </c>
      <c r="H76" s="30">
        <v>2</v>
      </c>
      <c r="I76" s="30">
        <v>1</v>
      </c>
      <c r="J76" s="30">
        <v>1</v>
      </c>
      <c r="K76" s="30">
        <v>2</v>
      </c>
      <c r="L76" s="30">
        <v>3</v>
      </c>
      <c r="M76" s="30">
        <v>1</v>
      </c>
      <c r="N76" s="37">
        <v>1</v>
      </c>
      <c r="O76" s="43">
        <v>43.9</v>
      </c>
      <c r="S76" s="30">
        <v>3</v>
      </c>
      <c r="T76" s="30">
        <v>2</v>
      </c>
      <c r="U76" s="30">
        <v>4</v>
      </c>
      <c r="V76" s="30">
        <v>4</v>
      </c>
      <c r="W76" s="30">
        <v>2</v>
      </c>
      <c r="X76" s="30">
        <v>1</v>
      </c>
      <c r="Y76" s="30">
        <v>1</v>
      </c>
      <c r="Z76" s="30">
        <v>2</v>
      </c>
      <c r="AA76" s="30">
        <v>3</v>
      </c>
      <c r="AB76" s="30">
        <v>4</v>
      </c>
      <c r="AC76" s="37">
        <v>1</v>
      </c>
      <c r="AD76" s="42">
        <f t="shared" si="2"/>
        <v>61.36</v>
      </c>
    </row>
    <row r="77" spans="1:30" ht="15" thickBot="1" x14ac:dyDescent="0.35">
      <c r="A77" s="8">
        <v>261</v>
      </c>
      <c r="B77" s="13" t="s">
        <v>33</v>
      </c>
      <c r="C77" s="15" t="s">
        <v>85</v>
      </c>
      <c r="D77" s="29">
        <v>2</v>
      </c>
      <c r="E77" s="29">
        <v>2</v>
      </c>
      <c r="F77" s="29">
        <v>2</v>
      </c>
      <c r="G77" s="29">
        <v>0</v>
      </c>
      <c r="H77" s="29">
        <v>4</v>
      </c>
      <c r="I77" s="29">
        <v>2</v>
      </c>
      <c r="J77" s="29">
        <v>4</v>
      </c>
      <c r="K77" s="29">
        <v>2</v>
      </c>
      <c r="L77" s="29">
        <v>3</v>
      </c>
      <c r="M77" s="29">
        <v>2</v>
      </c>
      <c r="N77" s="36">
        <v>1</v>
      </c>
      <c r="O77" s="43">
        <v>58.54</v>
      </c>
      <c r="S77" s="29">
        <v>2</v>
      </c>
      <c r="T77" s="29">
        <v>2</v>
      </c>
      <c r="U77" s="29">
        <v>3</v>
      </c>
      <c r="V77" s="29">
        <v>4</v>
      </c>
      <c r="W77" s="29">
        <v>4</v>
      </c>
      <c r="X77" s="29">
        <v>2</v>
      </c>
      <c r="Y77" s="29">
        <v>4</v>
      </c>
      <c r="Z77" s="29">
        <v>2</v>
      </c>
      <c r="AA77" s="29">
        <v>3</v>
      </c>
      <c r="AB77" s="30">
        <v>4</v>
      </c>
      <c r="AC77" s="36">
        <v>2</v>
      </c>
      <c r="AD77" s="42">
        <f t="shared" si="2"/>
        <v>72.73</v>
      </c>
    </row>
    <row r="78" spans="1:30" ht="15" thickBot="1" x14ac:dyDescent="0.35">
      <c r="A78" s="8">
        <v>262</v>
      </c>
      <c r="B78" s="14" t="s">
        <v>34</v>
      </c>
      <c r="C78" s="19" t="s">
        <v>86</v>
      </c>
      <c r="D78" s="30">
        <v>0</v>
      </c>
      <c r="E78" s="30">
        <v>2</v>
      </c>
      <c r="F78" s="30">
        <v>1</v>
      </c>
      <c r="G78" s="30">
        <v>0</v>
      </c>
      <c r="H78" s="30">
        <v>4</v>
      </c>
      <c r="I78" s="30">
        <v>2</v>
      </c>
      <c r="J78" s="30">
        <v>2</v>
      </c>
      <c r="K78" s="30">
        <v>2</v>
      </c>
      <c r="L78" s="30">
        <v>0</v>
      </c>
      <c r="M78" s="30">
        <v>0</v>
      </c>
      <c r="N78" s="37">
        <v>1</v>
      </c>
      <c r="O78" s="43">
        <v>34.15</v>
      </c>
      <c r="S78" s="30">
        <v>3</v>
      </c>
      <c r="T78" s="30">
        <v>2</v>
      </c>
      <c r="U78" s="30">
        <v>6</v>
      </c>
      <c r="V78" s="30">
        <v>3</v>
      </c>
      <c r="W78" s="30">
        <v>1</v>
      </c>
      <c r="X78" s="30">
        <v>2</v>
      </c>
      <c r="Y78" s="30">
        <v>2</v>
      </c>
      <c r="Z78" s="30">
        <v>2</v>
      </c>
      <c r="AA78" s="30">
        <v>0</v>
      </c>
      <c r="AB78" s="30">
        <v>0</v>
      </c>
      <c r="AC78" s="36">
        <v>2</v>
      </c>
      <c r="AD78" s="42">
        <f t="shared" si="2"/>
        <v>52.27</v>
      </c>
    </row>
    <row r="79" spans="1:30" ht="15" thickBot="1" x14ac:dyDescent="0.35">
      <c r="A79" s="8">
        <v>263</v>
      </c>
      <c r="B79" s="13" t="s">
        <v>35</v>
      </c>
      <c r="C79" s="15" t="s">
        <v>87</v>
      </c>
      <c r="D79" s="29">
        <v>1</v>
      </c>
      <c r="E79" s="29">
        <v>1</v>
      </c>
      <c r="F79" s="29">
        <v>2</v>
      </c>
      <c r="G79" s="29">
        <v>1</v>
      </c>
      <c r="H79" s="29">
        <v>1</v>
      </c>
      <c r="I79" s="29">
        <v>3</v>
      </c>
      <c r="J79" s="29">
        <v>3</v>
      </c>
      <c r="K79" s="29">
        <v>2</v>
      </c>
      <c r="L79" s="29">
        <v>2</v>
      </c>
      <c r="M79" s="29">
        <v>1</v>
      </c>
      <c r="N79" s="36">
        <v>1</v>
      </c>
      <c r="O79" s="43">
        <v>43.9</v>
      </c>
      <c r="S79" s="29">
        <v>5</v>
      </c>
      <c r="T79" s="29">
        <v>1</v>
      </c>
      <c r="U79" s="29">
        <v>2</v>
      </c>
      <c r="V79" s="29">
        <v>4</v>
      </c>
      <c r="W79" s="29">
        <v>1</v>
      </c>
      <c r="X79" s="29">
        <v>3</v>
      </c>
      <c r="Y79" s="29">
        <v>3</v>
      </c>
      <c r="Z79" s="29">
        <v>2</v>
      </c>
      <c r="AA79" s="29">
        <v>4</v>
      </c>
      <c r="AB79" s="29">
        <v>1</v>
      </c>
      <c r="AC79" s="36">
        <v>2</v>
      </c>
      <c r="AD79" s="42">
        <f t="shared" si="2"/>
        <v>63.64</v>
      </c>
    </row>
    <row r="80" spans="1:30" ht="15" thickBot="1" x14ac:dyDescent="0.35">
      <c r="A80" s="8">
        <v>264</v>
      </c>
      <c r="B80" s="14" t="s">
        <v>36</v>
      </c>
      <c r="C80" s="19" t="s">
        <v>88</v>
      </c>
      <c r="D80" s="30">
        <v>0</v>
      </c>
      <c r="E80" s="30">
        <v>2</v>
      </c>
      <c r="F80" s="30">
        <v>4</v>
      </c>
      <c r="G80" s="30">
        <v>0</v>
      </c>
      <c r="H80" s="30">
        <v>4</v>
      </c>
      <c r="I80" s="30">
        <v>3</v>
      </c>
      <c r="J80" s="30">
        <v>3</v>
      </c>
      <c r="K80" s="30">
        <v>2</v>
      </c>
      <c r="L80" s="30">
        <v>1</v>
      </c>
      <c r="M80" s="30">
        <v>2</v>
      </c>
      <c r="N80" s="37">
        <v>0</v>
      </c>
      <c r="O80" s="43">
        <v>51.22</v>
      </c>
      <c r="S80" s="30">
        <v>1</v>
      </c>
      <c r="T80" s="30">
        <v>2</v>
      </c>
      <c r="U80" s="30">
        <v>5</v>
      </c>
      <c r="V80" s="30">
        <v>2</v>
      </c>
      <c r="W80" s="30">
        <v>4</v>
      </c>
      <c r="X80" s="30">
        <v>4</v>
      </c>
      <c r="Y80" s="30">
        <v>3</v>
      </c>
      <c r="Z80" s="30">
        <v>2</v>
      </c>
      <c r="AA80" s="29">
        <v>4</v>
      </c>
      <c r="AB80" s="30">
        <v>2</v>
      </c>
      <c r="AC80" s="36">
        <v>2</v>
      </c>
      <c r="AD80" s="42">
        <f t="shared" si="2"/>
        <v>70.45</v>
      </c>
    </row>
    <row r="81" spans="1:30" ht="15" thickBot="1" x14ac:dyDescent="0.35">
      <c r="A81" s="8">
        <v>265</v>
      </c>
      <c r="B81" s="13" t="s">
        <v>37</v>
      </c>
      <c r="C81" s="15" t="s">
        <v>89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36">
        <v>0</v>
      </c>
      <c r="O81" s="43">
        <v>0</v>
      </c>
      <c r="S81" s="29">
        <v>2</v>
      </c>
      <c r="T81" s="29">
        <v>2</v>
      </c>
      <c r="U81" s="29">
        <v>4</v>
      </c>
      <c r="V81" s="29">
        <v>2</v>
      </c>
      <c r="W81" s="29">
        <v>0</v>
      </c>
      <c r="X81" s="29">
        <v>2</v>
      </c>
      <c r="Y81" s="29">
        <v>0</v>
      </c>
      <c r="Z81" s="29">
        <v>0</v>
      </c>
      <c r="AA81" s="29">
        <v>4</v>
      </c>
      <c r="AB81" s="29">
        <v>0</v>
      </c>
      <c r="AC81" s="36">
        <v>2</v>
      </c>
      <c r="AD81" s="42">
        <f t="shared" si="2"/>
        <v>40.909999999999997</v>
      </c>
    </row>
    <row r="82" spans="1:30" ht="15" thickBot="1" x14ac:dyDescent="0.35">
      <c r="A82" s="8">
        <v>266</v>
      </c>
      <c r="B82" s="14" t="s">
        <v>147</v>
      </c>
      <c r="C82" s="15" t="s">
        <v>90</v>
      </c>
      <c r="D82" s="30">
        <v>4</v>
      </c>
      <c r="E82" s="30">
        <v>2</v>
      </c>
      <c r="F82" s="30">
        <v>5</v>
      </c>
      <c r="G82" s="30">
        <v>1</v>
      </c>
      <c r="H82" s="30">
        <v>5</v>
      </c>
      <c r="I82" s="30">
        <v>3</v>
      </c>
      <c r="J82" s="30">
        <v>5</v>
      </c>
      <c r="K82" s="30">
        <v>2</v>
      </c>
      <c r="L82" s="30">
        <v>3</v>
      </c>
      <c r="M82" s="30">
        <v>3</v>
      </c>
      <c r="N82" s="37">
        <v>1</v>
      </c>
      <c r="O82" s="41">
        <v>82.93</v>
      </c>
      <c r="S82" s="30">
        <v>4</v>
      </c>
      <c r="T82" s="30">
        <v>2</v>
      </c>
      <c r="U82" s="30">
        <v>5</v>
      </c>
      <c r="V82" s="30">
        <v>0</v>
      </c>
      <c r="W82" s="30">
        <v>5</v>
      </c>
      <c r="X82" s="30">
        <v>3</v>
      </c>
      <c r="Y82" s="30">
        <v>4</v>
      </c>
      <c r="Z82" s="30">
        <v>2</v>
      </c>
      <c r="AA82" s="29">
        <v>4</v>
      </c>
      <c r="AB82" s="30">
        <v>3</v>
      </c>
      <c r="AC82" s="37">
        <v>1</v>
      </c>
      <c r="AD82" s="42">
        <f t="shared" si="2"/>
        <v>75</v>
      </c>
    </row>
    <row r="83" spans="1:30" ht="15" thickBot="1" x14ac:dyDescent="0.35">
      <c r="A83" s="8"/>
      <c r="B83" s="21"/>
      <c r="C83" s="26" t="s">
        <v>70</v>
      </c>
      <c r="L83" s="33"/>
      <c r="M83" s="33"/>
      <c r="AA83" s="33"/>
      <c r="AB83" s="33"/>
    </row>
    <row r="84" spans="1:30" ht="15" thickBot="1" x14ac:dyDescent="0.35">
      <c r="A84" s="8"/>
      <c r="B84" s="66" t="s">
        <v>2</v>
      </c>
      <c r="C84" s="67" t="s">
        <v>71</v>
      </c>
      <c r="D84" s="63" t="s">
        <v>164</v>
      </c>
      <c r="E84" s="52"/>
      <c r="F84" s="52" t="s">
        <v>165</v>
      </c>
      <c r="G84" s="52"/>
      <c r="H84" s="52" t="s">
        <v>180</v>
      </c>
      <c r="I84" s="52"/>
      <c r="J84" s="52" t="s">
        <v>183</v>
      </c>
      <c r="K84" s="54"/>
      <c r="L84" s="55" t="s">
        <v>171</v>
      </c>
      <c r="M84" s="57" t="s">
        <v>184</v>
      </c>
      <c r="N84" s="64" t="s">
        <v>174</v>
      </c>
      <c r="O84" s="73" t="s">
        <v>178</v>
      </c>
      <c r="S84" s="63" t="s">
        <v>164</v>
      </c>
      <c r="T84" s="52"/>
      <c r="U84" s="52" t="s">
        <v>165</v>
      </c>
      <c r="V84" s="52"/>
      <c r="W84" s="52" t="s">
        <v>180</v>
      </c>
      <c r="X84" s="52"/>
      <c r="Y84" s="52" t="s">
        <v>183</v>
      </c>
      <c r="Z84" s="54"/>
      <c r="AA84" s="55" t="s">
        <v>171</v>
      </c>
      <c r="AB84" s="57" t="s">
        <v>184</v>
      </c>
      <c r="AC84" s="64" t="s">
        <v>174</v>
      </c>
      <c r="AD84" s="49" t="s">
        <v>178</v>
      </c>
    </row>
    <row r="85" spans="1:30" ht="15" thickBot="1" x14ac:dyDescent="0.35">
      <c r="A85" s="8"/>
      <c r="B85" s="66"/>
      <c r="C85" s="68"/>
      <c r="D85" s="63"/>
      <c r="E85" s="52"/>
      <c r="F85" s="52"/>
      <c r="G85" s="52"/>
      <c r="H85" s="52"/>
      <c r="I85" s="52"/>
      <c r="J85" s="52"/>
      <c r="K85" s="54"/>
      <c r="L85" s="56"/>
      <c r="M85" s="58"/>
      <c r="N85" s="65"/>
      <c r="O85" s="74"/>
      <c r="S85" s="63"/>
      <c r="T85" s="52"/>
      <c r="U85" s="52"/>
      <c r="V85" s="52"/>
      <c r="W85" s="52"/>
      <c r="X85" s="52"/>
      <c r="Y85" s="52"/>
      <c r="Z85" s="54"/>
      <c r="AA85" s="56"/>
      <c r="AB85" s="58"/>
      <c r="AC85" s="65"/>
      <c r="AD85" s="50"/>
    </row>
    <row r="86" spans="1:30" ht="15" thickBot="1" x14ac:dyDescent="0.35">
      <c r="A86" s="8"/>
      <c r="B86" s="10"/>
      <c r="C86" s="17" t="s">
        <v>72</v>
      </c>
      <c r="D86" s="27" t="s">
        <v>160</v>
      </c>
      <c r="E86" s="31" t="s">
        <v>162</v>
      </c>
      <c r="F86" s="27" t="s">
        <v>160</v>
      </c>
      <c r="G86" s="17" t="s">
        <v>162</v>
      </c>
      <c r="H86" s="27" t="s">
        <v>160</v>
      </c>
      <c r="I86" s="31" t="s">
        <v>162</v>
      </c>
      <c r="J86" s="27" t="s">
        <v>160</v>
      </c>
      <c r="K86" s="31" t="s">
        <v>170</v>
      </c>
      <c r="L86" s="31" t="s">
        <v>160</v>
      </c>
      <c r="M86" s="31" t="s">
        <v>160</v>
      </c>
      <c r="N86" s="17" t="s">
        <v>162</v>
      </c>
      <c r="O86" s="75"/>
      <c r="S86" s="27" t="s">
        <v>160</v>
      </c>
      <c r="T86" s="31" t="s">
        <v>162</v>
      </c>
      <c r="U86" s="27" t="s">
        <v>160</v>
      </c>
      <c r="V86" s="17" t="s">
        <v>162</v>
      </c>
      <c r="W86" s="27" t="s">
        <v>160</v>
      </c>
      <c r="X86" s="31" t="s">
        <v>162</v>
      </c>
      <c r="Y86" s="27" t="s">
        <v>160</v>
      </c>
      <c r="Z86" s="31" t="s">
        <v>170</v>
      </c>
      <c r="AA86" s="31" t="s">
        <v>160</v>
      </c>
      <c r="AB86" s="31" t="s">
        <v>160</v>
      </c>
      <c r="AC86" s="17" t="s">
        <v>162</v>
      </c>
      <c r="AD86" s="38"/>
    </row>
    <row r="87" spans="1:30" ht="15" thickBot="1" x14ac:dyDescent="0.35">
      <c r="A87" s="8">
        <v>267</v>
      </c>
      <c r="B87" s="13" t="s">
        <v>38</v>
      </c>
      <c r="C87" s="19" t="s">
        <v>110</v>
      </c>
      <c r="D87" s="29">
        <v>1</v>
      </c>
      <c r="E87" s="29">
        <v>2</v>
      </c>
      <c r="F87" s="29">
        <v>1</v>
      </c>
      <c r="G87" s="29">
        <v>0</v>
      </c>
      <c r="H87" s="29">
        <v>5</v>
      </c>
      <c r="I87" s="29">
        <v>2</v>
      </c>
      <c r="J87" s="29">
        <v>3</v>
      </c>
      <c r="K87" s="29">
        <v>2</v>
      </c>
      <c r="L87" s="29">
        <v>3</v>
      </c>
      <c r="M87" s="29">
        <v>3</v>
      </c>
      <c r="N87" s="36">
        <v>1</v>
      </c>
      <c r="O87" s="43">
        <v>56.1</v>
      </c>
      <c r="S87" s="29">
        <v>3</v>
      </c>
      <c r="T87" s="29">
        <v>2</v>
      </c>
      <c r="U87" s="29">
        <v>2</v>
      </c>
      <c r="V87" s="29">
        <v>3</v>
      </c>
      <c r="W87" s="29">
        <v>0</v>
      </c>
      <c r="X87" s="29">
        <v>2</v>
      </c>
      <c r="Y87" s="29">
        <v>3</v>
      </c>
      <c r="Z87" s="29">
        <v>2</v>
      </c>
      <c r="AA87" s="29">
        <v>5</v>
      </c>
      <c r="AB87" s="29">
        <v>3</v>
      </c>
      <c r="AC87" s="36">
        <v>3</v>
      </c>
      <c r="AD87" s="43">
        <f>ROUND((SUM(S87:AC87)/$AD$7)*100,2)</f>
        <v>63.64</v>
      </c>
    </row>
    <row r="88" spans="1:30" ht="15" thickBot="1" x14ac:dyDescent="0.35">
      <c r="A88" s="8">
        <v>268</v>
      </c>
      <c r="B88" s="14" t="s">
        <v>39</v>
      </c>
      <c r="C88" s="15" t="s">
        <v>91</v>
      </c>
      <c r="D88" s="30">
        <v>0</v>
      </c>
      <c r="E88" s="30">
        <v>1</v>
      </c>
      <c r="F88" s="30">
        <v>2</v>
      </c>
      <c r="G88" s="30">
        <v>0</v>
      </c>
      <c r="H88" s="30">
        <v>1</v>
      </c>
      <c r="I88" s="30">
        <v>0</v>
      </c>
      <c r="J88" s="30">
        <v>2</v>
      </c>
      <c r="K88" s="30">
        <v>2</v>
      </c>
      <c r="L88" s="30">
        <v>1</v>
      </c>
      <c r="M88" s="30">
        <v>2</v>
      </c>
      <c r="N88" s="37">
        <v>1</v>
      </c>
      <c r="O88" s="43">
        <v>29.27</v>
      </c>
      <c r="S88" s="30">
        <v>3</v>
      </c>
      <c r="T88" s="30">
        <v>2</v>
      </c>
      <c r="U88" s="30">
        <v>0</v>
      </c>
      <c r="V88" s="29">
        <v>3</v>
      </c>
      <c r="W88" s="30">
        <v>1</v>
      </c>
      <c r="X88" s="30">
        <v>0</v>
      </c>
      <c r="Y88" s="30">
        <v>2</v>
      </c>
      <c r="Z88" s="30">
        <v>2</v>
      </c>
      <c r="AA88" s="29">
        <v>5</v>
      </c>
      <c r="AB88" s="30">
        <v>2</v>
      </c>
      <c r="AC88" s="36">
        <v>3</v>
      </c>
      <c r="AD88" s="43">
        <f t="shared" ref="AD88:AD98" si="3">ROUND((SUM(S88:AC88)/$AD$7)*100,2)</f>
        <v>52.27</v>
      </c>
    </row>
    <row r="89" spans="1:30" ht="15" thickBot="1" x14ac:dyDescent="0.35">
      <c r="A89" s="8">
        <v>269</v>
      </c>
      <c r="B89" s="13" t="s">
        <v>40</v>
      </c>
      <c r="C89" s="15" t="s">
        <v>92</v>
      </c>
      <c r="D89" s="29">
        <v>2</v>
      </c>
      <c r="E89" s="29">
        <v>2</v>
      </c>
      <c r="F89" s="29">
        <v>2</v>
      </c>
      <c r="G89" s="29">
        <v>0</v>
      </c>
      <c r="H89" s="29">
        <v>4</v>
      </c>
      <c r="I89" s="29">
        <v>2</v>
      </c>
      <c r="J89" s="29">
        <v>3</v>
      </c>
      <c r="K89" s="29">
        <v>2</v>
      </c>
      <c r="L89" s="29">
        <v>3</v>
      </c>
      <c r="M89" s="29">
        <v>2</v>
      </c>
      <c r="N89" s="36">
        <v>1</v>
      </c>
      <c r="O89" s="43">
        <v>56.1</v>
      </c>
      <c r="S89" s="29">
        <v>2</v>
      </c>
      <c r="T89" s="29">
        <v>2</v>
      </c>
      <c r="U89" s="29">
        <v>4</v>
      </c>
      <c r="V89" s="29">
        <v>3</v>
      </c>
      <c r="W89" s="29">
        <v>4</v>
      </c>
      <c r="X89" s="29">
        <v>2</v>
      </c>
      <c r="Y89" s="29">
        <v>3</v>
      </c>
      <c r="Z89" s="29">
        <v>3</v>
      </c>
      <c r="AA89" s="29">
        <v>5</v>
      </c>
      <c r="AB89" s="29">
        <v>2</v>
      </c>
      <c r="AC89" s="36">
        <v>3</v>
      </c>
      <c r="AD89" s="43">
        <f t="shared" si="3"/>
        <v>75</v>
      </c>
    </row>
    <row r="90" spans="1:30" ht="15" thickBot="1" x14ac:dyDescent="0.35">
      <c r="A90" s="8">
        <v>270</v>
      </c>
      <c r="B90" s="14" t="s">
        <v>41</v>
      </c>
      <c r="C90" s="19" t="s">
        <v>93</v>
      </c>
      <c r="D90" s="30">
        <v>4</v>
      </c>
      <c r="E90" s="30">
        <v>2</v>
      </c>
      <c r="F90" s="30">
        <v>4</v>
      </c>
      <c r="G90" s="30">
        <v>0</v>
      </c>
      <c r="H90" s="30">
        <v>5</v>
      </c>
      <c r="I90" s="30">
        <v>3</v>
      </c>
      <c r="J90" s="30">
        <v>4</v>
      </c>
      <c r="K90" s="30">
        <v>2</v>
      </c>
      <c r="L90" s="30">
        <v>3</v>
      </c>
      <c r="M90" s="30">
        <v>4</v>
      </c>
      <c r="N90" s="37">
        <v>1</v>
      </c>
      <c r="O90" s="45">
        <v>78.05</v>
      </c>
      <c r="S90" s="30">
        <v>4</v>
      </c>
      <c r="T90" s="30">
        <v>2</v>
      </c>
      <c r="U90" s="30">
        <v>4</v>
      </c>
      <c r="V90" s="29">
        <v>3</v>
      </c>
      <c r="W90" s="30">
        <v>2</v>
      </c>
      <c r="X90" s="30">
        <v>4</v>
      </c>
      <c r="Y90" s="30">
        <v>4</v>
      </c>
      <c r="Z90" s="29">
        <v>3</v>
      </c>
      <c r="AA90" s="29">
        <v>5</v>
      </c>
      <c r="AB90" s="30">
        <v>4</v>
      </c>
      <c r="AC90" s="36">
        <v>3</v>
      </c>
      <c r="AD90" s="43">
        <f t="shared" si="3"/>
        <v>86.36</v>
      </c>
    </row>
    <row r="91" spans="1:30" ht="15" thickBot="1" x14ac:dyDescent="0.35">
      <c r="A91" s="8">
        <v>271</v>
      </c>
      <c r="B91" s="13" t="s">
        <v>42</v>
      </c>
      <c r="C91" s="15" t="s">
        <v>94</v>
      </c>
      <c r="D91" s="29">
        <v>2</v>
      </c>
      <c r="E91" s="29">
        <v>2</v>
      </c>
      <c r="F91" s="29">
        <v>1</v>
      </c>
      <c r="G91" s="29">
        <v>1</v>
      </c>
      <c r="H91" s="29">
        <v>5</v>
      </c>
      <c r="I91" s="29">
        <v>2</v>
      </c>
      <c r="J91" s="29">
        <v>3</v>
      </c>
      <c r="K91" s="29">
        <v>2</v>
      </c>
      <c r="L91" s="29">
        <v>3</v>
      </c>
      <c r="M91" s="29">
        <v>3</v>
      </c>
      <c r="N91" s="36">
        <v>1</v>
      </c>
      <c r="O91" s="46">
        <v>60.98</v>
      </c>
      <c r="S91" s="29">
        <v>2</v>
      </c>
      <c r="T91" s="29">
        <v>2</v>
      </c>
      <c r="U91" s="29">
        <v>1</v>
      </c>
      <c r="V91" s="29">
        <v>3</v>
      </c>
      <c r="W91" s="29">
        <v>1</v>
      </c>
      <c r="X91" s="30">
        <v>4</v>
      </c>
      <c r="Y91" s="29">
        <v>3</v>
      </c>
      <c r="Z91" s="29">
        <v>3</v>
      </c>
      <c r="AA91" s="29">
        <v>5</v>
      </c>
      <c r="AB91" s="29">
        <v>3</v>
      </c>
      <c r="AC91" s="36">
        <v>3</v>
      </c>
      <c r="AD91" s="43">
        <f t="shared" si="3"/>
        <v>68.180000000000007</v>
      </c>
    </row>
    <row r="92" spans="1:30" ht="15" thickBot="1" x14ac:dyDescent="0.35">
      <c r="A92" s="8">
        <v>272</v>
      </c>
      <c r="B92" s="14" t="s">
        <v>43</v>
      </c>
      <c r="C92" s="15" t="s">
        <v>95</v>
      </c>
      <c r="D92" s="30">
        <v>1</v>
      </c>
      <c r="E92" s="30">
        <v>2</v>
      </c>
      <c r="F92" s="30">
        <v>2</v>
      </c>
      <c r="G92" s="30">
        <v>1</v>
      </c>
      <c r="H92" s="30">
        <v>4</v>
      </c>
      <c r="I92" s="30">
        <v>2</v>
      </c>
      <c r="J92" s="30">
        <v>4</v>
      </c>
      <c r="K92" s="30">
        <v>2</v>
      </c>
      <c r="L92" s="30">
        <v>2</v>
      </c>
      <c r="M92" s="30">
        <v>4</v>
      </c>
      <c r="N92" s="37">
        <v>1</v>
      </c>
      <c r="O92" s="46">
        <v>60.98</v>
      </c>
      <c r="S92" s="30">
        <v>4</v>
      </c>
      <c r="T92" s="30">
        <v>2</v>
      </c>
      <c r="U92" s="30">
        <v>4</v>
      </c>
      <c r="V92" s="29">
        <v>3</v>
      </c>
      <c r="W92" s="30">
        <v>4</v>
      </c>
      <c r="X92" s="30">
        <v>4</v>
      </c>
      <c r="Y92" s="30">
        <v>4</v>
      </c>
      <c r="Z92" s="29">
        <v>3</v>
      </c>
      <c r="AA92" s="29">
        <v>5</v>
      </c>
      <c r="AB92" s="29">
        <v>3</v>
      </c>
      <c r="AC92" s="36">
        <v>3</v>
      </c>
      <c r="AD92" s="43">
        <f t="shared" si="3"/>
        <v>88.64</v>
      </c>
    </row>
    <row r="93" spans="1:30" ht="15" thickBot="1" x14ac:dyDescent="0.35">
      <c r="A93" s="8">
        <v>273</v>
      </c>
      <c r="B93" s="13" t="s">
        <v>44</v>
      </c>
      <c r="C93" s="15" t="s">
        <v>96</v>
      </c>
      <c r="D93" s="29">
        <v>2</v>
      </c>
      <c r="E93" s="29">
        <v>2</v>
      </c>
      <c r="F93" s="29">
        <v>3</v>
      </c>
      <c r="G93" s="29">
        <v>0</v>
      </c>
      <c r="H93" s="29">
        <v>4</v>
      </c>
      <c r="I93" s="29">
        <v>3</v>
      </c>
      <c r="J93" s="29">
        <v>3</v>
      </c>
      <c r="K93" s="29">
        <v>2</v>
      </c>
      <c r="L93" s="29">
        <v>3</v>
      </c>
      <c r="M93" s="29">
        <v>3</v>
      </c>
      <c r="N93" s="36">
        <v>1</v>
      </c>
      <c r="O93" s="46">
        <v>63.41</v>
      </c>
      <c r="S93" s="29">
        <v>2</v>
      </c>
      <c r="T93" s="29">
        <v>2</v>
      </c>
      <c r="U93" s="29">
        <v>5</v>
      </c>
      <c r="V93" s="29">
        <v>2</v>
      </c>
      <c r="W93" s="29">
        <v>4</v>
      </c>
      <c r="X93" s="30">
        <v>4</v>
      </c>
      <c r="Y93" s="29">
        <v>3</v>
      </c>
      <c r="Z93" s="29">
        <v>3</v>
      </c>
      <c r="AA93" s="29">
        <v>5</v>
      </c>
      <c r="AB93" s="29">
        <v>3</v>
      </c>
      <c r="AC93" s="36">
        <v>3</v>
      </c>
      <c r="AD93" s="43">
        <f t="shared" si="3"/>
        <v>81.819999999999993</v>
      </c>
    </row>
    <row r="94" spans="1:30" ht="15" thickBot="1" x14ac:dyDescent="0.35">
      <c r="A94" s="8">
        <v>274</v>
      </c>
      <c r="B94" s="14" t="s">
        <v>148</v>
      </c>
      <c r="C94" s="19" t="s">
        <v>97</v>
      </c>
      <c r="D94" s="30">
        <v>2</v>
      </c>
      <c r="E94" s="30">
        <v>2</v>
      </c>
      <c r="F94" s="30">
        <v>4</v>
      </c>
      <c r="G94" s="30">
        <v>1</v>
      </c>
      <c r="H94" s="30">
        <v>5</v>
      </c>
      <c r="I94" s="30">
        <v>3</v>
      </c>
      <c r="J94" s="30">
        <v>4</v>
      </c>
      <c r="K94" s="30">
        <v>2</v>
      </c>
      <c r="L94" s="30">
        <v>3</v>
      </c>
      <c r="M94" s="30">
        <v>2</v>
      </c>
      <c r="N94" s="37">
        <v>1</v>
      </c>
      <c r="O94" s="46">
        <v>70.73</v>
      </c>
      <c r="S94" s="30">
        <v>2</v>
      </c>
      <c r="T94" s="30">
        <v>2</v>
      </c>
      <c r="U94" s="30">
        <v>4</v>
      </c>
      <c r="V94" s="29">
        <v>2</v>
      </c>
      <c r="W94" s="30">
        <v>4</v>
      </c>
      <c r="X94" s="30">
        <v>4</v>
      </c>
      <c r="Y94" s="30">
        <v>4</v>
      </c>
      <c r="Z94" s="30">
        <v>2</v>
      </c>
      <c r="AA94" s="29">
        <v>5</v>
      </c>
      <c r="AB94" s="29">
        <v>3</v>
      </c>
      <c r="AC94" s="36">
        <v>3</v>
      </c>
      <c r="AD94" s="43">
        <f t="shared" si="3"/>
        <v>79.55</v>
      </c>
    </row>
    <row r="95" spans="1:30" ht="15" thickBot="1" x14ac:dyDescent="0.35">
      <c r="A95" s="8">
        <v>275</v>
      </c>
      <c r="B95" s="13" t="s">
        <v>149</v>
      </c>
      <c r="C95" s="15" t="s">
        <v>98</v>
      </c>
      <c r="D95" s="29">
        <v>0</v>
      </c>
      <c r="E95" s="29">
        <v>0</v>
      </c>
      <c r="F95" s="29">
        <v>0</v>
      </c>
      <c r="G95" s="29">
        <v>0</v>
      </c>
      <c r="H95" s="29">
        <v>0</v>
      </c>
      <c r="I95" s="29">
        <v>0</v>
      </c>
      <c r="J95" s="29">
        <v>0</v>
      </c>
      <c r="K95" s="29">
        <v>0</v>
      </c>
      <c r="L95" s="29">
        <v>1</v>
      </c>
      <c r="M95" s="29">
        <v>0</v>
      </c>
      <c r="N95" s="36">
        <v>1</v>
      </c>
      <c r="O95" s="46">
        <v>4.88</v>
      </c>
      <c r="S95" s="29">
        <v>3</v>
      </c>
      <c r="T95" s="29">
        <v>1</v>
      </c>
      <c r="U95" s="29">
        <v>6</v>
      </c>
      <c r="V95" s="29">
        <v>2</v>
      </c>
      <c r="W95" s="29">
        <v>0</v>
      </c>
      <c r="X95" s="30">
        <v>4</v>
      </c>
      <c r="Y95" s="29">
        <v>0</v>
      </c>
      <c r="Z95" s="29">
        <v>0</v>
      </c>
      <c r="AA95" s="29">
        <v>4</v>
      </c>
      <c r="AB95" s="29">
        <v>3</v>
      </c>
      <c r="AC95" s="36">
        <v>3</v>
      </c>
      <c r="AD95" s="43">
        <f t="shared" si="3"/>
        <v>59.09</v>
      </c>
    </row>
    <row r="96" spans="1:30" ht="15" thickBot="1" x14ac:dyDescent="0.35">
      <c r="A96" s="8">
        <v>276</v>
      </c>
      <c r="B96" s="15" t="s">
        <v>150</v>
      </c>
      <c r="C96" s="15" t="s">
        <v>99</v>
      </c>
      <c r="D96" s="30">
        <v>1</v>
      </c>
      <c r="E96" s="30">
        <v>0</v>
      </c>
      <c r="F96" s="30">
        <v>2</v>
      </c>
      <c r="G96" s="30">
        <v>0</v>
      </c>
      <c r="H96" s="30">
        <v>2</v>
      </c>
      <c r="I96" s="30">
        <v>0</v>
      </c>
      <c r="J96" s="30">
        <v>0</v>
      </c>
      <c r="K96" s="30">
        <v>0</v>
      </c>
      <c r="L96" s="30">
        <v>2</v>
      </c>
      <c r="M96" s="30">
        <v>0</v>
      </c>
      <c r="N96" s="37">
        <v>0</v>
      </c>
      <c r="O96" s="46">
        <v>17.07</v>
      </c>
      <c r="S96" s="30">
        <v>4</v>
      </c>
      <c r="T96" s="30">
        <v>1</v>
      </c>
      <c r="U96" s="30">
        <v>4</v>
      </c>
      <c r="V96" s="30">
        <v>1</v>
      </c>
      <c r="W96" s="30">
        <v>2</v>
      </c>
      <c r="X96" s="30">
        <v>0</v>
      </c>
      <c r="Y96" s="30">
        <v>0</v>
      </c>
      <c r="Z96" s="30">
        <v>0</v>
      </c>
      <c r="AA96" s="30">
        <v>3</v>
      </c>
      <c r="AB96" s="30">
        <v>0</v>
      </c>
      <c r="AC96" s="37">
        <v>0</v>
      </c>
      <c r="AD96" s="43">
        <f t="shared" si="3"/>
        <v>34.090000000000003</v>
      </c>
    </row>
    <row r="97" spans="1:30" ht="15" thickBot="1" x14ac:dyDescent="0.35">
      <c r="A97" s="8">
        <v>277</v>
      </c>
      <c r="B97" s="13" t="s">
        <v>151</v>
      </c>
      <c r="C97" s="19" t="s">
        <v>159</v>
      </c>
      <c r="D97" s="29">
        <v>2</v>
      </c>
      <c r="E97" s="29">
        <v>1</v>
      </c>
      <c r="F97" s="29">
        <v>4</v>
      </c>
      <c r="G97" s="29">
        <v>0</v>
      </c>
      <c r="H97" s="29">
        <v>4</v>
      </c>
      <c r="I97" s="29">
        <v>0</v>
      </c>
      <c r="J97" s="29">
        <v>3</v>
      </c>
      <c r="K97" s="29">
        <v>0</v>
      </c>
      <c r="L97" s="29">
        <v>3</v>
      </c>
      <c r="M97" s="29">
        <v>3</v>
      </c>
      <c r="N97" s="36">
        <v>1</v>
      </c>
      <c r="O97" s="46">
        <v>51.22</v>
      </c>
      <c r="S97" s="29">
        <v>2</v>
      </c>
      <c r="T97" s="29">
        <v>1</v>
      </c>
      <c r="U97" s="29">
        <v>4</v>
      </c>
      <c r="V97" s="29">
        <v>0</v>
      </c>
      <c r="W97" s="29">
        <v>4</v>
      </c>
      <c r="X97" s="29">
        <v>0</v>
      </c>
      <c r="Y97" s="29">
        <v>3</v>
      </c>
      <c r="Z97" s="29">
        <v>0</v>
      </c>
      <c r="AA97" s="30">
        <v>3</v>
      </c>
      <c r="AB97" s="29">
        <v>3</v>
      </c>
      <c r="AC97" s="36">
        <v>3</v>
      </c>
      <c r="AD97" s="43">
        <f t="shared" si="3"/>
        <v>52.27</v>
      </c>
    </row>
    <row r="98" spans="1:30" ht="15" thickBot="1" x14ac:dyDescent="0.35">
      <c r="A98" s="8">
        <v>278</v>
      </c>
      <c r="B98" s="15" t="s">
        <v>45</v>
      </c>
      <c r="C98" s="15" t="s">
        <v>116</v>
      </c>
      <c r="D98" s="30">
        <v>4</v>
      </c>
      <c r="E98" s="30">
        <v>2</v>
      </c>
      <c r="F98" s="30">
        <v>3</v>
      </c>
      <c r="G98" s="30">
        <v>1</v>
      </c>
      <c r="H98" s="30">
        <v>5</v>
      </c>
      <c r="I98" s="30">
        <v>3</v>
      </c>
      <c r="J98" s="30">
        <v>3</v>
      </c>
      <c r="K98" s="30">
        <v>2</v>
      </c>
      <c r="L98" s="30">
        <v>3</v>
      </c>
      <c r="M98" s="30">
        <v>3</v>
      </c>
      <c r="N98" s="37">
        <v>1</v>
      </c>
      <c r="O98" s="47">
        <v>73.17</v>
      </c>
      <c r="S98" s="30">
        <v>4</v>
      </c>
      <c r="T98" s="30">
        <v>1</v>
      </c>
      <c r="U98" s="30">
        <v>4</v>
      </c>
      <c r="V98" s="30">
        <v>1</v>
      </c>
      <c r="W98" s="30">
        <v>3</v>
      </c>
      <c r="X98" s="30">
        <v>3</v>
      </c>
      <c r="Y98" s="30">
        <v>3</v>
      </c>
      <c r="Z98" s="30">
        <v>2</v>
      </c>
      <c r="AA98" s="30">
        <v>3</v>
      </c>
      <c r="AB98" s="30">
        <v>3</v>
      </c>
      <c r="AC98" s="37">
        <v>1</v>
      </c>
      <c r="AD98" s="43">
        <f t="shared" si="3"/>
        <v>63.64</v>
      </c>
    </row>
    <row r="99" spans="1:30" x14ac:dyDescent="0.3">
      <c r="B99" s="22"/>
      <c r="C99" s="22"/>
      <c r="D99" s="22"/>
      <c r="S99" s="22"/>
    </row>
  </sheetData>
  <mergeCells count="56">
    <mergeCell ref="W84:X85"/>
    <mergeCell ref="Y84:Z85"/>
    <mergeCell ref="O44:O45"/>
    <mergeCell ref="AC84:AC85"/>
    <mergeCell ref="D44:E45"/>
    <mergeCell ref="F44:G45"/>
    <mergeCell ref="H44:I45"/>
    <mergeCell ref="J44:K45"/>
    <mergeCell ref="D84:E85"/>
    <mergeCell ref="F84:G85"/>
    <mergeCell ref="H84:I85"/>
    <mergeCell ref="J84:K85"/>
    <mergeCell ref="S44:T45"/>
    <mergeCell ref="U44:V45"/>
    <mergeCell ref="W44:X45"/>
    <mergeCell ref="Y44:Z45"/>
    <mergeCell ref="S84:T85"/>
    <mergeCell ref="U84:V85"/>
    <mergeCell ref="M44:M45"/>
    <mergeCell ref="M84:M85"/>
    <mergeCell ref="N44:N45"/>
    <mergeCell ref="N84:N85"/>
    <mergeCell ref="L44:L45"/>
    <mergeCell ref="B3:B4"/>
    <mergeCell ref="C3:C4"/>
    <mergeCell ref="B44:B45"/>
    <mergeCell ref="B84:B85"/>
    <mergeCell ref="C44:C45"/>
    <mergeCell ref="C84:C85"/>
    <mergeCell ref="D2:O2"/>
    <mergeCell ref="S2:AD2"/>
    <mergeCell ref="D3:E4"/>
    <mergeCell ref="F3:G4"/>
    <mergeCell ref="L3:L4"/>
    <mergeCell ref="O3:O4"/>
    <mergeCell ref="AC3:AC4"/>
    <mergeCell ref="Y3:Z4"/>
    <mergeCell ref="M3:M4"/>
    <mergeCell ref="N3:N4"/>
    <mergeCell ref="AD3:AD4"/>
    <mergeCell ref="AD44:AD45"/>
    <mergeCell ref="AD84:AD85"/>
    <mergeCell ref="H3:I4"/>
    <mergeCell ref="J3:K4"/>
    <mergeCell ref="S3:T4"/>
    <mergeCell ref="U3:V4"/>
    <mergeCell ref="W3:X4"/>
    <mergeCell ref="O84:O85"/>
    <mergeCell ref="AA3:AA4"/>
    <mergeCell ref="AA44:AA45"/>
    <mergeCell ref="AA84:AA85"/>
    <mergeCell ref="AB3:AB4"/>
    <mergeCell ref="AB44:AB45"/>
    <mergeCell ref="AB84:AB85"/>
    <mergeCell ref="AC44:AC45"/>
    <mergeCell ref="L84:L85"/>
  </mergeCells>
  <conditionalFormatting sqref="AE92:AE95">
    <cfRule type="cellIs" dxfId="38" priority="20" operator="lessThan">
      <formula>75</formula>
    </cfRule>
  </conditionalFormatting>
  <conditionalFormatting sqref="AD10">
    <cfRule type="cellIs" dxfId="37" priority="19" operator="lessThan">
      <formula>75</formula>
    </cfRule>
  </conditionalFormatting>
  <conditionalFormatting sqref="AD1:AD1048576">
    <cfRule type="cellIs" dxfId="36" priority="18" operator="lessThan">
      <formula>75</formula>
    </cfRule>
    <cfRule type="cellIs" dxfId="35" priority="17" operator="lessThan">
      <formula>75</formula>
    </cfRule>
  </conditionalFormatting>
  <conditionalFormatting sqref="AD7:AD98">
    <cfRule type="cellIs" dxfId="34" priority="16" operator="lessThan">
      <formula>75</formula>
    </cfRule>
  </conditionalFormatting>
  <conditionalFormatting sqref="AD99:AD111 AD127:AD128 AD144:AD145 AD161:AD162 AD178:AD179 AD195:AD196 AD212:AD213 AD229:AD230 AD246:AD247">
    <cfRule type="cellIs" dxfId="33" priority="15" operator="lessThan">
      <formula>1</formula>
    </cfRule>
  </conditionalFormatting>
  <conditionalFormatting sqref="AD110:AD259">
    <cfRule type="cellIs" dxfId="32" priority="14" operator="lessThan">
      <formula>1</formula>
    </cfRule>
  </conditionalFormatting>
  <conditionalFormatting sqref="AD260:AD2850">
    <cfRule type="cellIs" dxfId="31" priority="13" operator="lessThan">
      <formula>1</formula>
    </cfRule>
  </conditionalFormatting>
  <conditionalFormatting sqref="AD47:AD82">
    <cfRule type="cellIs" dxfId="30" priority="12" operator="lessThan">
      <formula>75</formula>
    </cfRule>
  </conditionalFormatting>
  <conditionalFormatting sqref="AD47:AD64">
    <cfRule type="cellIs" dxfId="29" priority="11" operator="lessThan">
      <formula>75</formula>
    </cfRule>
    <cfRule type="cellIs" dxfId="28" priority="10" operator="greaterThan">
      <formula>75</formula>
    </cfRule>
  </conditionalFormatting>
  <conditionalFormatting sqref="AD57:AD64">
    <cfRule type="cellIs" dxfId="27" priority="9" operator="greaterThan">
      <formula>75</formula>
    </cfRule>
  </conditionalFormatting>
  <conditionalFormatting sqref="AD57:AD58">
    <cfRule type="cellIs" dxfId="26" priority="8" operator="lessThan">
      <formula>80</formula>
    </cfRule>
  </conditionalFormatting>
  <conditionalFormatting sqref="AD67:AD82">
    <cfRule type="cellIs" dxfId="25" priority="7" operator="greaterThan">
      <formula>75</formula>
    </cfRule>
  </conditionalFormatting>
  <conditionalFormatting sqref="AD68">
    <cfRule type="cellIs" dxfId="24" priority="6" operator="equal">
      <formula>75</formula>
    </cfRule>
  </conditionalFormatting>
  <conditionalFormatting sqref="AD70:AD71">
    <cfRule type="cellIs" dxfId="23" priority="5" operator="equal">
      <formula>75</formula>
    </cfRule>
  </conditionalFormatting>
  <conditionalFormatting sqref="AD82">
    <cfRule type="cellIs" dxfId="22" priority="4" operator="equal">
      <formula>75</formula>
    </cfRule>
  </conditionalFormatting>
  <conditionalFormatting sqref="AD87:AD98">
    <cfRule type="cellIs" dxfId="21" priority="3" operator="greaterThan">
      <formula>75</formula>
    </cfRule>
  </conditionalFormatting>
  <conditionalFormatting sqref="AD89">
    <cfRule type="cellIs" dxfId="20" priority="2" operator="equal">
      <formula>75</formula>
    </cfRule>
  </conditionalFormatting>
  <conditionalFormatting sqref="AE1:AE104857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Nagaonkar</dc:creator>
  <cp:lastModifiedBy>Shivani Nagaonkar</cp:lastModifiedBy>
  <dcterms:created xsi:type="dcterms:W3CDTF">2026-05-04T05:22:20Z</dcterms:created>
  <dcterms:modified xsi:type="dcterms:W3CDTF">2026-05-18T15:05:13Z</dcterms:modified>
</cp:coreProperties>
</file>